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1 Top Mentor Data Analyst Classes\Assignments\Submitted Assignments\"/>
    </mc:Choice>
  </mc:AlternateContent>
  <xr:revisionPtr revIDLastSave="0" documentId="13_ncr:1_{C6681FF6-9F02-45B5-BAA2-DF742B43BA90}" xr6:coauthVersionLast="47" xr6:coauthVersionMax="47" xr10:uidLastSave="{00000000-0000-0000-0000-000000000000}"/>
  <bookViews>
    <workbookView xWindow="-108" yWindow="-108" windowWidth="23256" windowHeight="12456" xr2:uid="{0B5FABFA-46EF-44E0-8923-A3D70EA566BA}"/>
  </bookViews>
  <sheets>
    <sheet name="statistical-analysis" sheetId="1" r:id="rId1"/>
    <sheet name="correlation matrix " sheetId="4" r:id="rId2"/>
    <sheet name=" summary statistics" sheetId="2" r:id="rId3"/>
    <sheet name="Pivot Tables" sheetId="3" r:id="rId4"/>
  </sheets>
  <definedNames>
    <definedName name="_xlchart.v1.0" hidden="1">'statistical-analysis'!$E$1</definedName>
    <definedName name="_xlchart.v1.1" hidden="1">'statistical-analysis'!$E$2:$E$101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G56" i="1" l="1"/>
  <c r="H5" i="1"/>
  <c r="I2" i="1"/>
  <c r="H2" i="1"/>
  <c r="G2" i="1"/>
  <c r="G5" i="1"/>
  <c r="H8" i="1"/>
  <c r="G8" i="1"/>
  <c r="G11" i="1"/>
  <c r="H18" i="1"/>
  <c r="H17" i="1"/>
  <c r="H16" i="1"/>
  <c r="H15" i="1"/>
  <c r="H27" i="1"/>
  <c r="H26" i="1"/>
  <c r="H25" i="1"/>
  <c r="H52" i="1"/>
  <c r="H51" i="1"/>
  <c r="H46" i="1"/>
  <c r="H42" i="1"/>
  <c r="H41" i="1"/>
  <c r="H40" i="1"/>
  <c r="H37" i="1"/>
  <c r="H36" i="1"/>
  <c r="H32" i="1"/>
  <c r="H31" i="1"/>
  <c r="H30" i="1"/>
</calcChain>
</file>

<file path=xl/sharedStrings.xml><?xml version="1.0" encoding="utf-8"?>
<sst xmlns="http://schemas.openxmlformats.org/spreadsheetml/2006/main" count="186" uniqueCount="105">
  <si>
    <t>Age</t>
  </si>
  <si>
    <t>Salary</t>
  </si>
  <si>
    <t>Purchase_Count</t>
  </si>
  <si>
    <t>Satisfaction_Score</t>
  </si>
  <si>
    <t>Visit_Frequency</t>
  </si>
  <si>
    <t>Mean of Age</t>
  </si>
  <si>
    <t>Median of Age</t>
  </si>
  <si>
    <t>Mode of Age</t>
  </si>
  <si>
    <t>Standard Deviation of Salary</t>
  </si>
  <si>
    <t>Variance of Salary</t>
  </si>
  <si>
    <t>Skewness - Purchase count</t>
  </si>
  <si>
    <t>Kurtosis</t>
  </si>
  <si>
    <t>What is the correlation between 'Salary' and 'Satisfaction_Score'?</t>
  </si>
  <si>
    <t>Mean</t>
  </si>
  <si>
    <t>Standard Error</t>
  </si>
  <si>
    <t>Median</t>
  </si>
  <si>
    <t>Mode</t>
  </si>
  <si>
    <t>Standard Deviation</t>
  </si>
  <si>
    <t>Sample Variance</t>
  </si>
  <si>
    <t>Skewness</t>
  </si>
  <si>
    <t>Range</t>
  </si>
  <si>
    <t>Minimum</t>
  </si>
  <si>
    <t>Maximum</t>
  </si>
  <si>
    <t>Sum</t>
  </si>
  <si>
    <t>Count</t>
  </si>
  <si>
    <t>Higher salary does not strongly predict higher or lower satisfaction in this dataset — the link is weak and slightly negative.</t>
  </si>
  <si>
    <t>Sum of Salary</t>
  </si>
  <si>
    <t>Grand Total</t>
  </si>
  <si>
    <t>18-27</t>
  </si>
  <si>
    <t>28-37</t>
  </si>
  <si>
    <t>38-47</t>
  </si>
  <si>
    <t>48-57</t>
  </si>
  <si>
    <t>58-67</t>
  </si>
  <si>
    <t>Average Salary by Age Group</t>
  </si>
  <si>
    <t>Sum of Purchase_Count</t>
  </si>
  <si>
    <t>Age Group</t>
  </si>
  <si>
    <t>Sum of Visit_Frequency</t>
  </si>
  <si>
    <t>Satisfaction Score</t>
  </si>
  <si>
    <t>No.</t>
  </si>
  <si>
    <t>Count of records per Visit_Frequency value</t>
  </si>
  <si>
    <t>Total Purchase_Count for each Satisfaction_Score value</t>
  </si>
  <si>
    <t>Average of Salary</t>
  </si>
  <si>
    <t>Max of Salary</t>
  </si>
  <si>
    <t>Min of Salary</t>
  </si>
  <si>
    <t>Minimum, Maximum, and Average Salary per Age group</t>
  </si>
  <si>
    <t>25000-49999</t>
  </si>
  <si>
    <t>50000-74999</t>
  </si>
  <si>
    <t>75000-99999</t>
  </si>
  <si>
    <t>100000-124999</t>
  </si>
  <si>
    <t>125000-149999</t>
  </si>
  <si>
    <t>150000-174999</t>
  </si>
  <si>
    <t>175000-199999</t>
  </si>
  <si>
    <t>Total Purchase_Count for each distinct Salary range bucket</t>
  </si>
  <si>
    <t>Salary Range</t>
  </si>
  <si>
    <t>Identify if 'Satisfaction_Score' has any outliers using standard deviation method.</t>
  </si>
  <si>
    <t>Average</t>
  </si>
  <si>
    <r>
      <t>Lower Limit (Mean – 2*SD):</t>
    </r>
    <r>
      <rPr>
        <sz val="11"/>
        <color theme="1"/>
        <rFont val="Calibri"/>
        <family val="2"/>
        <scheme val="minor"/>
      </rPr>
      <t xml:space="preserve"> </t>
    </r>
  </si>
  <si>
    <t>Upper Limit (Mean + 2*SD)</t>
  </si>
  <si>
    <t>All scores fall within this range (0.79 – 5.48).</t>
  </si>
  <si>
    <r>
      <t xml:space="preserve"> Therefore, </t>
    </r>
    <r>
      <rPr>
        <b/>
        <sz val="11"/>
        <color theme="1"/>
        <rFont val="Calibri"/>
        <family val="2"/>
        <scheme val="minor"/>
      </rPr>
      <t xml:space="preserve">there are no outliers in the </t>
    </r>
    <r>
      <rPr>
        <b/>
        <sz val="10"/>
        <color theme="1"/>
        <rFont val="Arial Unicode MS"/>
      </rPr>
      <t>Satisfaction_Score</t>
    </r>
    <r>
      <rPr>
        <b/>
        <sz val="11"/>
        <color theme="1"/>
        <rFont val="Calibri"/>
        <family val="2"/>
        <scheme val="minor"/>
      </rPr>
      <t xml:space="preserve"> column using the standard deviation method</t>
    </r>
    <r>
      <rPr>
        <sz val="11"/>
        <color theme="1"/>
        <rFont val="Calibri"/>
        <family val="2"/>
        <scheme val="minor"/>
      </rPr>
      <t>.</t>
    </r>
  </si>
  <si>
    <t>Calculate the coefficient of variation for 'Salary'.</t>
  </si>
  <si>
    <t>Coefficient of Variation</t>
  </si>
  <si>
    <t>Find the interquartile range (IQR) for 'Purchase_Count'.</t>
  </si>
  <si>
    <t>Q1</t>
  </si>
  <si>
    <t>Q3</t>
  </si>
  <si>
    <t>IQR</t>
  </si>
  <si>
    <t>Column 1</t>
  </si>
  <si>
    <t>Column 2</t>
  </si>
  <si>
    <t>Column 3</t>
  </si>
  <si>
    <t>Column 4</t>
  </si>
  <si>
    <t>Column 5</t>
  </si>
  <si>
    <t>Calculate the range (max - min) for the 'Age' and 'Salary' columns.</t>
  </si>
  <si>
    <t>Age Range</t>
  </si>
  <si>
    <t>Determine the percentile ranks for 'Purchase_Count' at 25%, 50%, and 75%.</t>
  </si>
  <si>
    <t>25th percentile (Q1)</t>
  </si>
  <si>
    <t>75th percentile (Q3)</t>
  </si>
  <si>
    <t>50th percentile (Q2)</t>
  </si>
  <si>
    <t>Find the covariance between 'Salary' and 'Visit_Frequency'.</t>
  </si>
  <si>
    <r>
      <t>Negative covariance</t>
    </r>
    <r>
      <rPr>
        <sz val="11"/>
        <color theme="1"/>
        <rFont val="Calibri"/>
        <family val="2"/>
        <scheme val="minor"/>
      </rPr>
      <t xml:space="preserve"> → when Salary increases, Visit_Frequency tends to decrease.</t>
    </r>
  </si>
  <si>
    <t>Check if 'Salary' follows a normal distribution using skewness and kurtosis values.</t>
  </si>
  <si>
    <t>QUARTILE.INC($C$2:$C$101,1)</t>
  </si>
  <si>
    <t>QUARTILE.INC($C$2:$C$101,3)</t>
  </si>
  <si>
    <t>H31-H30</t>
  </si>
  <si>
    <t>MAX(A2:A101) - MIN(A2:A101)</t>
  </si>
  <si>
    <t>MAX(B2:B101) - MIN(B2:B101)</t>
  </si>
  <si>
    <t>PERCENTILE.INC($C$2:$C$101,0.25)</t>
  </si>
  <si>
    <t>PERCENTILE.INC($C$2:$C$101,0.5)</t>
  </si>
  <si>
    <t>PERCENTILE.INC($C$2:$C$101,0.75)</t>
  </si>
  <si>
    <t>COVARIANCE.S(B2:B101, E2:E101)</t>
  </si>
  <si>
    <t>SKEW($A$2:$A$101)</t>
  </si>
  <si>
    <t>KURT(A2:A101)</t>
  </si>
  <si>
    <t>AVERAGE($B$2:$B$101)</t>
  </si>
  <si>
    <t>STDEV.S($B$2:$B$101)</t>
  </si>
  <si>
    <t>(H26/H25)*100</t>
  </si>
  <si>
    <t>AVERAGE(Table1[Satisfaction_Score])</t>
  </si>
  <si>
    <t>STDEV.S(Table1[Satisfaction_Score])</t>
  </si>
  <si>
    <t>(H15-2*H16)</t>
  </si>
  <si>
    <t>(H15+2*H16)</t>
  </si>
  <si>
    <t>CORREL(A2:A101, B2:B101)</t>
  </si>
  <si>
    <t>SKEW($C$2:$C$101)</t>
  </si>
  <si>
    <t>KURT($C$2:$C$101)</t>
  </si>
  <si>
    <t>AVERAGE($A$2:$A$101)</t>
  </si>
  <si>
    <t>VAR.S($B$2:$B$101)</t>
  </si>
  <si>
    <t>Calculate the z-scores for 'Satisfaction_Score' and identify any data points beyond ±3.</t>
  </si>
  <si>
    <r>
      <t>No data points</t>
    </r>
    <r>
      <rPr>
        <sz val="11"/>
        <color theme="1"/>
        <rFont val="Calibri"/>
        <family val="2"/>
        <scheme val="minor"/>
      </rPr>
      <t xml:space="preserve"> exceeded ±3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</si>
</sst>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164" fontId="0" fillId="0" borderId="0" xfId="0" applyNumberFormat="1"/>
    <xf numFmtId="0" fontId="16" fillId="33" borderId="0" xfId="0" applyFont="1" applyFill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/>
    <xf numFmtId="0" fontId="16" fillId="0" borderId="11" xfId="0" applyFont="1" applyBorder="1" applyAlignment="1">
      <alignment horizontal="center"/>
    </xf>
    <xf numFmtId="0" fontId="16" fillId="0" borderId="0" xfId="0" applyFont="1"/>
    <xf numFmtId="0" fontId="0" fillId="33" borderId="0" xfId="0" applyFill="1"/>
    <xf numFmtId="0" fontId="19" fillId="0" borderId="11" xfId="0" applyFont="1" applyBorder="1" applyAlignment="1">
      <alignment horizontal="center"/>
    </xf>
    <xf numFmtId="0" fontId="16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Visit Frequency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clusteredColumn" uniqueId="{7D15BB45-6745-4B75-82A0-05FFFCBB710E}">
          <cx:tx>
            <cx:txData>
              <cx:f>_xlchart.v1.0</cx:f>
              <cx:v>Visit_Frequency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205740</xdr:colOff>
      <xdr:row>0</xdr:row>
      <xdr:rowOff>26670</xdr:rowOff>
    </xdr:from>
    <xdr:to>
      <xdr:col>22</xdr:col>
      <xdr:colOff>510540</xdr:colOff>
      <xdr:row>15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39D158E-1712-FFFB-9D50-A6CDF6B489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2140" y="266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ta" refreshedDate="45893.918229745374" createdVersion="8" refreshedVersion="8" minRefreshableVersion="3" recordCount="100" xr:uid="{63669364-F7C6-45E9-8D3E-A6B703B2A441}">
  <cacheSource type="worksheet">
    <worksheetSource name="Table1"/>
  </cacheSource>
  <cacheFields count="5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  <fieldGroup base="0">
        <rangePr startNum="18" endNum="64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Salary" numFmtId="0">
      <sharedItems containsSemiMixedTypes="0" containsString="0" containsNumber="1" containsInteger="1" minValue="27693" maxValue="179736" count="100">
        <n v="158767"/>
        <n v="149375"/>
        <n v="161330"/>
        <n v="64504"/>
        <n v="38986"/>
        <n v="86858"/>
        <n v="154312"/>
        <n v="37666"/>
        <n v="63660"/>
        <n v="159633"/>
        <n v="51854"/>
        <n v="89505"/>
        <n v="129488"/>
        <n v="47662"/>
        <n v="33392"/>
        <n v="55535"/>
        <n v="138569"/>
        <n v="77256"/>
        <n v="114135"/>
        <n v="152478"/>
        <n v="60222"/>
        <n v="102373"/>
        <n v="148684"/>
        <n v="35965"/>
        <n v="49538"/>
        <n v="133066"/>
        <n v="138252"/>
        <n v="164182"/>
        <n v="123806"/>
        <n v="162982"/>
        <n v="135989"/>
        <n v="115982"/>
        <n v="146626"/>
        <n v="144176"/>
        <n v="156278"/>
        <n v="147409"/>
        <n v="48419"/>
        <n v="75015"/>
        <n v="147096"/>
        <n v="132059"/>
        <n v="135687"/>
        <n v="112939"/>
        <n v="174213"/>
        <n v="130878"/>
        <n v="87623"/>
        <n v="100450"/>
        <n v="118426"/>
        <n v="142845"/>
        <n v="178371"/>
        <n v="68585"/>
        <n v="134225"/>
        <n v="89044"/>
        <n v="134556"/>
        <n v="27693"/>
        <n v="120259"/>
        <n v="50939"/>
        <n v="177906"/>
        <n v="43047"/>
        <n v="51105"/>
        <n v="100766"/>
        <n v="171779"/>
        <n v="178048"/>
        <n v="69262"/>
        <n v="150117"/>
        <n v="48776"/>
        <n v="153376"/>
        <n v="162848"/>
        <n v="117787"/>
        <n v="152948"/>
        <n v="80016"/>
        <n v="165546"/>
        <n v="46959"/>
        <n v="161602"/>
        <n v="144101"/>
        <n v="28748"/>
        <n v="38545"/>
        <n v="152659"/>
        <n v="98530"/>
        <n v="118557"/>
        <n v="86087"/>
        <n v="93840"/>
        <n v="143451"/>
        <n v="76005"/>
        <n v="64353"/>
        <n v="77733"/>
        <n v="90318"/>
        <n v="179736"/>
        <n v="92172"/>
        <n v="118264"/>
        <n v="51736"/>
        <n v="137859"/>
        <n v="137181"/>
        <n v="156926"/>
        <n v="115084"/>
        <n v="32392"/>
        <n v="80680"/>
        <n v="75859"/>
        <n v="150657"/>
        <n v="95467"/>
        <n v="123506"/>
      </sharedItems>
      <fieldGroup base="1">
        <rangePr autoStart="0" startNum="25000" endNum="179736" groupInterval="25000"/>
        <groupItems count="9">
          <s v="&lt;25000"/>
          <s v="25000-49999"/>
          <s v="50000-74999"/>
          <s v="75000-99999"/>
          <s v="100000-124999"/>
          <s v="125000-149999"/>
          <s v="150000-174999"/>
          <s v="175000-199999"/>
          <s v="&gt;200000"/>
        </groupItems>
      </fieldGroup>
    </cacheField>
    <cacheField name="Purchase_Count" numFmtId="0">
      <sharedItems containsSemiMixedTypes="0" containsString="0" containsNumber="1" containsInteger="1" minValue="1" maxValue="49"/>
    </cacheField>
    <cacheField name="Satisfaction_Score" numFmtId="0">
      <sharedItems containsSemiMixedTypes="0" containsString="0" containsNumber="1" minValue="1.0618264660000001" maxValue="4.9602154000000001" count="100">
        <n v="1.9759585740000001"/>
        <n v="4.8920422190000004"/>
        <n v="2.5723908990000002"/>
        <n v="4.5681862210000004"/>
        <n v="3.5245545040000001"/>
        <n v="4.1792452139999998"/>
        <n v="3.0105483720000001"/>
        <n v="3.3076155389999999"/>
        <n v="2.9700707749999999"/>
        <n v="1.7809719509999999"/>
        <n v="3.8898084609999999"/>
        <n v="2.1230894500000002"/>
        <n v="1.097263866"/>
        <n v="3.581889184"/>
        <n v="1.7084427179999999"/>
        <n v="4.7618343369999998"/>
        <n v="4.8157143080000004"/>
        <n v="4.659457561"/>
        <n v="2.4806348009999999"/>
        <n v="1.0618264660000001"/>
        <n v="4.7132742500000004"/>
        <n v="2.7127365929999998"/>
        <n v="4.8666192759999998"/>
        <n v="4.8544799080000001"/>
        <n v="4.4120378220000003"/>
        <n v="2.1777955680000001"/>
        <n v="2.5403909140000001"/>
        <n v="4.4045466859999998"/>
        <n v="2.2676880210000001"/>
        <n v="1.6779709869999999"/>
        <n v="3.2272050499999998"/>
        <n v="4.7446190970000002"/>
        <n v="3.7841191869999999"/>
        <n v="3.28024468"/>
        <n v="1.3887059749999999"/>
        <n v="3.4600289069999999"/>
        <n v="4.9602154000000001"/>
        <n v="1.5603360610000001"/>
        <n v="3.0733186090000002"/>
        <n v="4.5094922879999997"/>
        <n v="3.9630744710000001"/>
        <n v="3.7880629639999999"/>
        <n v="3.8099363359999998"/>
        <n v="2.4379646049999999"/>
        <n v="2.1743673769999998"/>
        <n v="4.2374446219999999"/>
        <n v="4.2404535790000004"/>
        <n v="4.468289274"/>
        <n v="4.6529622100000001"/>
        <n v="3.0453695949999999"/>
        <n v="3.0060651790000001"/>
        <n v="4.1931807159999996"/>
        <n v="3.5998557230000001"/>
        <n v="3.8078675089999998"/>
        <n v="4.1831706779999998"/>
        <n v="4.560021367"/>
        <n v="2.3519806270000001"/>
        <n v="2.5023318109999999"/>
        <n v="1.3759277590000001"/>
        <n v="3.3131205640000001"/>
        <n v="1.1437690949999999"/>
        <n v="2.8623920730000001"/>
        <n v="3.1705785390000001"/>
        <n v="2.1461650090000002"/>
        <n v="3.3633330419999998"/>
        <n v="1.122001"/>
        <n v="1.149392755"/>
        <n v="4.2904022429999999"/>
        <n v="2.4407625660000001"/>
        <n v="1.5082420510000001"/>
        <n v="3.0889730399999999"/>
        <n v="4.0799742119999998"/>
        <n v="1.8632841099999999"/>
        <n v="3.491561903"/>
        <n v="1.34138986"/>
        <n v="1.2067268849999999"/>
        <n v="3.1254185259999998"/>
        <n v="3.1625404860000002"/>
        <n v="3.549719606"/>
        <n v="3.904365335"/>
        <n v="4.9034083180000003"/>
        <n v="3.0652013930000002"/>
        <n v="2.2918258919999999"/>
        <n v="4.1807447790000003"/>
        <n v="2.083329005"/>
        <n v="2.7558856829999998"/>
        <n v="1.3138255249999999"/>
        <n v="1.101402974"/>
        <n v="4.8505936590000003"/>
        <n v="4.3439204819999997"/>
        <n v="3.7838968240000002"/>
        <n v="2.6358117779999999"/>
        <n v="1.69317728"/>
        <n v="1.6257481709999999"/>
        <n v="2.000971593"/>
        <n v="3.1969066590000002"/>
        <n v="3.8583836909999998"/>
        <n v="3.640789507"/>
        <n v="2.1197355880000002"/>
        <n v="4.819461123"/>
      </sharedItems>
    </cacheField>
    <cacheField name="Visit_Frequency" numFmtId="0">
      <sharedItems containsSemiMixedTypes="0" containsString="0" containsNumber="1" containsInteger="1" minValue="1" maxValue="19" count="18">
        <n v="7"/>
        <n v="5"/>
        <n v="3"/>
        <n v="12"/>
        <n v="16"/>
        <n v="19"/>
        <n v="14"/>
        <n v="15"/>
        <n v="17"/>
        <n v="4"/>
        <n v="1"/>
        <n v="10"/>
        <n v="2"/>
        <n v="13"/>
        <n v="18"/>
        <n v="11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7"/>
    <x v="0"/>
    <x v="0"/>
  </r>
  <r>
    <x v="1"/>
    <x v="1"/>
    <n v="38"/>
    <x v="1"/>
    <x v="1"/>
  </r>
  <r>
    <x v="2"/>
    <x v="2"/>
    <n v="24"/>
    <x v="2"/>
    <x v="2"/>
  </r>
  <r>
    <x v="3"/>
    <x v="3"/>
    <n v="5"/>
    <x v="3"/>
    <x v="3"/>
  </r>
  <r>
    <x v="4"/>
    <x v="4"/>
    <n v="34"/>
    <x v="4"/>
    <x v="4"/>
  </r>
  <r>
    <x v="5"/>
    <x v="5"/>
    <n v="6"/>
    <x v="5"/>
    <x v="5"/>
  </r>
  <r>
    <x v="0"/>
    <x v="6"/>
    <n v="22"/>
    <x v="6"/>
    <x v="1"/>
  </r>
  <r>
    <x v="6"/>
    <x v="7"/>
    <n v="11"/>
    <x v="7"/>
    <x v="6"/>
  </r>
  <r>
    <x v="7"/>
    <x v="8"/>
    <n v="48"/>
    <x v="8"/>
    <x v="1"/>
  </r>
  <r>
    <x v="8"/>
    <x v="9"/>
    <n v="16"/>
    <x v="9"/>
    <x v="7"/>
  </r>
  <r>
    <x v="8"/>
    <x v="10"/>
    <n v="33"/>
    <x v="10"/>
    <x v="8"/>
  </r>
  <r>
    <x v="9"/>
    <x v="11"/>
    <n v="9"/>
    <x v="11"/>
    <x v="6"/>
  </r>
  <r>
    <x v="10"/>
    <x v="12"/>
    <n v="6"/>
    <x v="12"/>
    <x v="1"/>
  </r>
  <r>
    <x v="11"/>
    <x v="13"/>
    <n v="16"/>
    <x v="13"/>
    <x v="3"/>
  </r>
  <r>
    <x v="9"/>
    <x v="14"/>
    <n v="29"/>
    <x v="14"/>
    <x v="4"/>
  </r>
  <r>
    <x v="12"/>
    <x v="15"/>
    <n v="3"/>
    <x v="15"/>
    <x v="4"/>
  </r>
  <r>
    <x v="13"/>
    <x v="16"/>
    <n v="20"/>
    <x v="16"/>
    <x v="0"/>
  </r>
  <r>
    <x v="14"/>
    <x v="17"/>
    <n v="36"/>
    <x v="17"/>
    <x v="9"/>
  </r>
  <r>
    <x v="9"/>
    <x v="18"/>
    <n v="19"/>
    <x v="18"/>
    <x v="10"/>
  </r>
  <r>
    <x v="15"/>
    <x v="19"/>
    <n v="26"/>
    <x v="19"/>
    <x v="1"/>
  </r>
  <r>
    <x v="16"/>
    <x v="20"/>
    <n v="3"/>
    <x v="20"/>
    <x v="11"/>
  </r>
  <r>
    <x v="17"/>
    <x v="21"/>
    <n v="19"/>
    <x v="21"/>
    <x v="1"/>
  </r>
  <r>
    <x v="14"/>
    <x v="22"/>
    <n v="20"/>
    <x v="22"/>
    <x v="9"/>
  </r>
  <r>
    <x v="5"/>
    <x v="23"/>
    <n v="32"/>
    <x v="23"/>
    <x v="12"/>
  </r>
  <r>
    <x v="18"/>
    <x v="24"/>
    <n v="7"/>
    <x v="24"/>
    <x v="11"/>
  </r>
  <r>
    <x v="19"/>
    <x v="25"/>
    <n v="41"/>
    <x v="25"/>
    <x v="5"/>
  </r>
  <r>
    <x v="13"/>
    <x v="26"/>
    <n v="33"/>
    <x v="26"/>
    <x v="10"/>
  </r>
  <r>
    <x v="15"/>
    <x v="27"/>
    <n v="40"/>
    <x v="27"/>
    <x v="1"/>
  </r>
  <r>
    <x v="20"/>
    <x v="28"/>
    <n v="39"/>
    <x v="28"/>
    <x v="13"/>
  </r>
  <r>
    <x v="21"/>
    <x v="29"/>
    <n v="18"/>
    <x v="29"/>
    <x v="9"/>
  </r>
  <r>
    <x v="22"/>
    <x v="30"/>
    <n v="40"/>
    <x v="30"/>
    <x v="4"/>
  </r>
  <r>
    <x v="23"/>
    <x v="31"/>
    <n v="1"/>
    <x v="31"/>
    <x v="4"/>
  </r>
  <r>
    <x v="24"/>
    <x v="32"/>
    <n v="11"/>
    <x v="32"/>
    <x v="12"/>
  </r>
  <r>
    <x v="2"/>
    <x v="33"/>
    <n v="28"/>
    <x v="33"/>
    <x v="8"/>
  </r>
  <r>
    <x v="25"/>
    <x v="34"/>
    <n v="25"/>
    <x v="34"/>
    <x v="3"/>
  </r>
  <r>
    <x v="15"/>
    <x v="35"/>
    <n v="23"/>
    <x v="35"/>
    <x v="14"/>
  </r>
  <r>
    <x v="12"/>
    <x v="36"/>
    <n v="31"/>
    <x v="36"/>
    <x v="2"/>
  </r>
  <r>
    <x v="26"/>
    <x v="37"/>
    <n v="30"/>
    <x v="37"/>
    <x v="10"/>
  </r>
  <r>
    <x v="27"/>
    <x v="38"/>
    <n v="42"/>
    <x v="38"/>
    <x v="10"/>
  </r>
  <r>
    <x v="5"/>
    <x v="39"/>
    <n v="35"/>
    <x v="39"/>
    <x v="5"/>
  </r>
  <r>
    <x v="28"/>
    <x v="40"/>
    <n v="7"/>
    <x v="40"/>
    <x v="15"/>
  </r>
  <r>
    <x v="0"/>
    <x v="41"/>
    <n v="16"/>
    <x v="41"/>
    <x v="1"/>
  </r>
  <r>
    <x v="29"/>
    <x v="42"/>
    <n v="26"/>
    <x v="42"/>
    <x v="3"/>
  </r>
  <r>
    <x v="30"/>
    <x v="43"/>
    <n v="48"/>
    <x v="43"/>
    <x v="2"/>
  </r>
  <r>
    <x v="20"/>
    <x v="44"/>
    <n v="49"/>
    <x v="44"/>
    <x v="10"/>
  </r>
  <r>
    <x v="31"/>
    <x v="45"/>
    <n v="2"/>
    <x v="45"/>
    <x v="10"/>
  </r>
  <r>
    <x v="28"/>
    <x v="46"/>
    <n v="1"/>
    <x v="46"/>
    <x v="16"/>
  </r>
  <r>
    <x v="32"/>
    <x v="47"/>
    <n v="48"/>
    <x v="47"/>
    <x v="11"/>
  </r>
  <r>
    <x v="14"/>
    <x v="48"/>
    <n v="12"/>
    <x v="48"/>
    <x v="15"/>
  </r>
  <r>
    <x v="33"/>
    <x v="49"/>
    <n v="5"/>
    <x v="49"/>
    <x v="3"/>
  </r>
  <r>
    <x v="23"/>
    <x v="50"/>
    <n v="37"/>
    <x v="50"/>
    <x v="13"/>
  </r>
  <r>
    <x v="25"/>
    <x v="51"/>
    <n v="32"/>
    <x v="51"/>
    <x v="3"/>
  </r>
  <r>
    <x v="27"/>
    <x v="52"/>
    <n v="9"/>
    <x v="52"/>
    <x v="6"/>
  </r>
  <r>
    <x v="15"/>
    <x v="53"/>
    <n v="41"/>
    <x v="53"/>
    <x v="12"/>
  </r>
  <r>
    <x v="4"/>
    <x v="54"/>
    <n v="35"/>
    <x v="54"/>
    <x v="5"/>
  </r>
  <r>
    <x v="25"/>
    <x v="55"/>
    <n v="19"/>
    <x v="55"/>
    <x v="14"/>
  </r>
  <r>
    <x v="34"/>
    <x v="56"/>
    <n v="48"/>
    <x v="56"/>
    <x v="2"/>
  </r>
  <r>
    <x v="31"/>
    <x v="57"/>
    <n v="16"/>
    <x v="57"/>
    <x v="8"/>
  </r>
  <r>
    <x v="35"/>
    <x v="58"/>
    <n v="3"/>
    <x v="58"/>
    <x v="16"/>
  </r>
  <r>
    <x v="10"/>
    <x v="59"/>
    <n v="20"/>
    <x v="59"/>
    <x v="11"/>
  </r>
  <r>
    <x v="11"/>
    <x v="60"/>
    <n v="24"/>
    <x v="60"/>
    <x v="12"/>
  </r>
  <r>
    <x v="30"/>
    <x v="61"/>
    <n v="33"/>
    <x v="61"/>
    <x v="5"/>
  </r>
  <r>
    <x v="14"/>
    <x v="62"/>
    <n v="24"/>
    <x v="62"/>
    <x v="17"/>
  </r>
  <r>
    <x v="36"/>
    <x v="63"/>
    <n v="11"/>
    <x v="63"/>
    <x v="0"/>
  </r>
  <r>
    <x v="22"/>
    <x v="64"/>
    <n v="49"/>
    <x v="64"/>
    <x v="9"/>
  </r>
  <r>
    <x v="30"/>
    <x v="65"/>
    <n v="8"/>
    <x v="65"/>
    <x v="14"/>
  </r>
  <r>
    <x v="1"/>
    <x v="66"/>
    <n v="36"/>
    <x v="66"/>
    <x v="13"/>
  </r>
  <r>
    <x v="29"/>
    <x v="67"/>
    <n v="38"/>
    <x v="67"/>
    <x v="15"/>
  </r>
  <r>
    <x v="32"/>
    <x v="68"/>
    <n v="40"/>
    <x v="68"/>
    <x v="9"/>
  </r>
  <r>
    <x v="15"/>
    <x v="69"/>
    <n v="20"/>
    <x v="69"/>
    <x v="9"/>
  </r>
  <r>
    <x v="37"/>
    <x v="70"/>
    <n v="35"/>
    <x v="70"/>
    <x v="11"/>
  </r>
  <r>
    <x v="38"/>
    <x v="71"/>
    <n v="48"/>
    <x v="71"/>
    <x v="1"/>
  </r>
  <r>
    <x v="10"/>
    <x v="72"/>
    <n v="25"/>
    <x v="72"/>
    <x v="17"/>
  </r>
  <r>
    <x v="31"/>
    <x v="73"/>
    <n v="35"/>
    <x v="73"/>
    <x v="2"/>
  </r>
  <r>
    <x v="39"/>
    <x v="74"/>
    <n v="25"/>
    <x v="74"/>
    <x v="8"/>
  </r>
  <r>
    <x v="2"/>
    <x v="75"/>
    <n v="29"/>
    <x v="75"/>
    <x v="2"/>
  </r>
  <r>
    <x v="4"/>
    <x v="76"/>
    <n v="18"/>
    <x v="76"/>
    <x v="4"/>
  </r>
  <r>
    <x v="31"/>
    <x v="77"/>
    <n v="46"/>
    <x v="77"/>
    <x v="9"/>
  </r>
  <r>
    <x v="7"/>
    <x v="78"/>
    <n v="18"/>
    <x v="78"/>
    <x v="14"/>
  </r>
  <r>
    <x v="11"/>
    <x v="79"/>
    <n v="2"/>
    <x v="79"/>
    <x v="8"/>
  </r>
  <r>
    <x v="5"/>
    <x v="80"/>
    <n v="35"/>
    <x v="80"/>
    <x v="0"/>
  </r>
  <r>
    <x v="24"/>
    <x v="81"/>
    <n v="16"/>
    <x v="81"/>
    <x v="1"/>
  </r>
  <r>
    <x v="40"/>
    <x v="82"/>
    <n v="41"/>
    <x v="82"/>
    <x v="3"/>
  </r>
  <r>
    <x v="29"/>
    <x v="83"/>
    <n v="36"/>
    <x v="83"/>
    <x v="8"/>
  </r>
  <r>
    <x v="25"/>
    <x v="84"/>
    <n v="33"/>
    <x v="84"/>
    <x v="13"/>
  </r>
  <r>
    <x v="9"/>
    <x v="85"/>
    <n v="4"/>
    <x v="85"/>
    <x v="2"/>
  </r>
  <r>
    <x v="32"/>
    <x v="86"/>
    <n v="33"/>
    <x v="86"/>
    <x v="17"/>
  </r>
  <r>
    <x v="20"/>
    <x v="87"/>
    <n v="14"/>
    <x v="87"/>
    <x v="8"/>
  </r>
  <r>
    <x v="40"/>
    <x v="88"/>
    <n v="21"/>
    <x v="88"/>
    <x v="8"/>
  </r>
  <r>
    <x v="41"/>
    <x v="89"/>
    <n v="48"/>
    <x v="89"/>
    <x v="4"/>
  </r>
  <r>
    <x v="1"/>
    <x v="90"/>
    <n v="20"/>
    <x v="90"/>
    <x v="13"/>
  </r>
  <r>
    <x v="2"/>
    <x v="91"/>
    <n v="8"/>
    <x v="91"/>
    <x v="5"/>
  </r>
  <r>
    <x v="40"/>
    <x v="92"/>
    <n v="7"/>
    <x v="92"/>
    <x v="8"/>
  </r>
  <r>
    <x v="42"/>
    <x v="93"/>
    <n v="3"/>
    <x v="93"/>
    <x v="9"/>
  </r>
  <r>
    <x v="20"/>
    <x v="94"/>
    <n v="17"/>
    <x v="94"/>
    <x v="3"/>
  </r>
  <r>
    <x v="27"/>
    <x v="95"/>
    <n v="33"/>
    <x v="95"/>
    <x v="17"/>
  </r>
  <r>
    <x v="28"/>
    <x v="96"/>
    <n v="48"/>
    <x v="96"/>
    <x v="5"/>
  </r>
  <r>
    <x v="9"/>
    <x v="97"/>
    <n v="12"/>
    <x v="97"/>
    <x v="3"/>
  </r>
  <r>
    <x v="42"/>
    <x v="98"/>
    <n v="22"/>
    <x v="98"/>
    <x v="17"/>
  </r>
  <r>
    <x v="15"/>
    <x v="99"/>
    <n v="22"/>
    <x v="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6442F-24B6-40C5-978D-9202A4A66E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3:B9" firstHeaderRow="1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E9ADF-1049-40D7-8217-2B480E3F509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ary Range">
  <location ref="K14:L22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92718-EB58-49B8-86AB-FCF42F68B68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K3:N9" firstHeaderRow="0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ary" fld="1" subtotal="average" baseField="0" baseItem="1"/>
    <dataField name="Min of Salary" fld="1" subtotal="min" baseField="0" baseItem="1"/>
    <dataField name="Max of Salary" fld="1" subtotal="max" baseField="0" baseItem="1"/>
  </dataFields>
  <formats count="2">
    <format dxfId="1">
      <pivotArea collapsedLevelsAreSubtotals="1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33B71-302A-4CBC-AB36-164F5427F6F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G3:H22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dataField="1" showAll="0">
      <items count="19">
        <item x="10"/>
        <item x="12"/>
        <item x="2"/>
        <item x="9"/>
        <item x="1"/>
        <item x="0"/>
        <item x="16"/>
        <item x="17"/>
        <item x="11"/>
        <item x="15"/>
        <item x="3"/>
        <item x="13"/>
        <item x="6"/>
        <item x="7"/>
        <item x="4"/>
        <item x="8"/>
        <item x="14"/>
        <item x="5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Visit_Frequenc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C5BC2-1B2C-425C-8CB6-F71EAC6C254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 Score">
  <location ref="D3:E104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axis="axisRow" showAll="0">
      <items count="101">
        <item x="19"/>
        <item x="12"/>
        <item x="87"/>
        <item x="65"/>
        <item x="60"/>
        <item x="66"/>
        <item x="75"/>
        <item x="86"/>
        <item x="74"/>
        <item x="58"/>
        <item x="34"/>
        <item x="69"/>
        <item x="37"/>
        <item x="93"/>
        <item x="29"/>
        <item x="92"/>
        <item x="14"/>
        <item x="9"/>
        <item x="72"/>
        <item x="0"/>
        <item x="94"/>
        <item x="84"/>
        <item x="98"/>
        <item x="11"/>
        <item x="63"/>
        <item x="44"/>
        <item x="25"/>
        <item x="28"/>
        <item x="82"/>
        <item x="56"/>
        <item x="43"/>
        <item x="68"/>
        <item x="18"/>
        <item x="57"/>
        <item x="26"/>
        <item x="2"/>
        <item x="91"/>
        <item x="21"/>
        <item x="85"/>
        <item x="61"/>
        <item x="8"/>
        <item x="50"/>
        <item x="6"/>
        <item x="49"/>
        <item x="81"/>
        <item x="38"/>
        <item x="70"/>
        <item x="76"/>
        <item x="77"/>
        <item x="62"/>
        <item x="95"/>
        <item x="30"/>
        <item x="33"/>
        <item x="7"/>
        <item x="59"/>
        <item x="64"/>
        <item x="35"/>
        <item x="73"/>
        <item x="4"/>
        <item x="78"/>
        <item x="13"/>
        <item x="52"/>
        <item x="97"/>
        <item x="90"/>
        <item x="32"/>
        <item x="41"/>
        <item x="53"/>
        <item x="42"/>
        <item x="96"/>
        <item x="10"/>
        <item x="79"/>
        <item x="40"/>
        <item x="71"/>
        <item x="5"/>
        <item x="83"/>
        <item x="54"/>
        <item x="51"/>
        <item x="45"/>
        <item x="46"/>
        <item x="67"/>
        <item x="89"/>
        <item x="27"/>
        <item x="24"/>
        <item x="47"/>
        <item x="39"/>
        <item x="55"/>
        <item x="3"/>
        <item x="48"/>
        <item x="17"/>
        <item x="20"/>
        <item x="31"/>
        <item x="15"/>
        <item x="16"/>
        <item x="99"/>
        <item x="88"/>
        <item x="23"/>
        <item x="22"/>
        <item x="1"/>
        <item x="80"/>
        <item x="36"/>
        <item t="default"/>
      </items>
    </pivotField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Purchase_Count" fld="2" baseField="0" baseItem="0"/>
  </dataFields>
  <formats count="3">
    <format dxfId="4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6FD42-464E-4E07-8739-9411BD6571F2}" name="Table1" displayName="Table1" ref="A1:E101" totalsRowShown="0">
  <autoFilter ref="A1:E101" xr:uid="{7BC6FD42-464E-4E07-8739-9411BD6571F2}"/>
  <tableColumns count="5">
    <tableColumn id="1" xr3:uid="{6EC14BA9-FD46-4412-B3B2-900E9EAB70E0}" name="Age"/>
    <tableColumn id="2" xr3:uid="{6B35A720-C863-46D0-A635-A4D106028E82}" name="Salary"/>
    <tableColumn id="3" xr3:uid="{63C727A3-F0D5-44F2-AD86-2C5EA0084F80}" name="Purchase_Count"/>
    <tableColumn id="4" xr3:uid="{C65A912D-D493-4C4C-A1AB-68E0F16D1DAD}" name="Satisfaction_Score" dataDxfId="5"/>
    <tableColumn id="5" xr3:uid="{8200943D-D6AB-4E8B-A5B7-F1E86535644A}" name="Visit_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DD7D-7A40-42F3-AF5B-011134DB312B}">
  <dimension ref="A1:N101"/>
  <sheetViews>
    <sheetView tabSelected="1" workbookViewId="0">
      <selection activeCell="N23" sqref="N23"/>
    </sheetView>
  </sheetViews>
  <sheetFormatPr defaultRowHeight="14.4"/>
  <cols>
    <col min="3" max="3" width="16.6640625" customWidth="1"/>
    <col min="4" max="4" width="18.33203125" customWidth="1"/>
    <col min="5" max="5" width="16.21875" customWidth="1"/>
    <col min="7" max="7" width="26.88671875" customWidth="1"/>
    <col min="8" max="8" width="17.77734375" customWidth="1"/>
    <col min="9" max="9" width="15.21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G1" s="3" t="s">
        <v>5</v>
      </c>
      <c r="H1" s="3" t="s">
        <v>6</v>
      </c>
      <c r="I1" s="3" t="s">
        <v>7</v>
      </c>
    </row>
    <row r="2" spans="1:14">
      <c r="A2">
        <v>56</v>
      </c>
      <c r="B2">
        <v>158767</v>
      </c>
      <c r="C2">
        <v>17</v>
      </c>
      <c r="D2" s="4">
        <v>1.9759585740000001</v>
      </c>
      <c r="E2">
        <v>7</v>
      </c>
      <c r="G2">
        <f>AVERAGE($A$2:$A$101)</f>
        <v>40.880000000000003</v>
      </c>
      <c r="H2">
        <f>MEDIAN($A$2:$A$101)</f>
        <v>41</v>
      </c>
      <c r="I2">
        <f>_xlfn.MODE.SNGL($A$2:$A$101)</f>
        <v>61</v>
      </c>
      <c r="L2" t="s">
        <v>101</v>
      </c>
    </row>
    <row r="3" spans="1:14">
      <c r="A3">
        <v>46</v>
      </c>
      <c r="B3">
        <v>149375</v>
      </c>
      <c r="C3">
        <v>38</v>
      </c>
      <c r="D3" s="4">
        <v>4.8920422190000004</v>
      </c>
      <c r="E3">
        <v>5</v>
      </c>
    </row>
    <row r="4" spans="1:14">
      <c r="A4">
        <v>32</v>
      </c>
      <c r="B4">
        <v>161330</v>
      </c>
      <c r="C4">
        <v>24</v>
      </c>
      <c r="D4" s="4">
        <v>2.5723908990000002</v>
      </c>
      <c r="E4">
        <v>3</v>
      </c>
      <c r="G4" s="3" t="s">
        <v>8</v>
      </c>
      <c r="H4" s="3" t="s">
        <v>9</v>
      </c>
    </row>
    <row r="5" spans="1:14">
      <c r="A5">
        <v>60</v>
      </c>
      <c r="B5">
        <v>64504</v>
      </c>
      <c r="C5">
        <v>5</v>
      </c>
      <c r="D5" s="4">
        <v>4.5681862210000004</v>
      </c>
      <c r="E5">
        <v>12</v>
      </c>
      <c r="G5">
        <f>_xlfn.STDEV.S($B$2:$B$101)</f>
        <v>44418.086324573604</v>
      </c>
      <c r="H5">
        <f>_xlfn.VAR.S($B$2:$B$101)</f>
        <v>1972966392.7372727</v>
      </c>
      <c r="K5" t="s">
        <v>92</v>
      </c>
      <c r="N5" t="s">
        <v>102</v>
      </c>
    </row>
    <row r="6" spans="1:14">
      <c r="A6">
        <v>25</v>
      </c>
      <c r="B6">
        <v>38986</v>
      </c>
      <c r="C6">
        <v>34</v>
      </c>
      <c r="D6" s="4">
        <v>3.5245545040000001</v>
      </c>
      <c r="E6">
        <v>16</v>
      </c>
    </row>
    <row r="7" spans="1:14">
      <c r="A7">
        <v>38</v>
      </c>
      <c r="B7">
        <v>86858</v>
      </c>
      <c r="C7">
        <v>6</v>
      </c>
      <c r="D7" s="4">
        <v>4.1792452139999998</v>
      </c>
      <c r="E7">
        <v>19</v>
      </c>
      <c r="G7" s="3" t="s">
        <v>10</v>
      </c>
      <c r="H7" s="3" t="s">
        <v>11</v>
      </c>
    </row>
    <row r="8" spans="1:14">
      <c r="A8">
        <v>56</v>
      </c>
      <c r="B8">
        <v>154312</v>
      </c>
      <c r="C8">
        <v>22</v>
      </c>
      <c r="D8" s="4">
        <v>3.0105483720000001</v>
      </c>
      <c r="E8">
        <v>5</v>
      </c>
      <c r="G8" s="2">
        <f>SKEW($C$2:$C$101)</f>
        <v>4.8663601904092149E-2</v>
      </c>
      <c r="H8" s="2">
        <f>KURT($C$2:$C$101)</f>
        <v>-1.055159061973828</v>
      </c>
      <c r="J8" t="s">
        <v>99</v>
      </c>
      <c r="L8" t="s">
        <v>100</v>
      </c>
    </row>
    <row r="9" spans="1:14">
      <c r="A9">
        <v>36</v>
      </c>
      <c r="B9">
        <v>37666</v>
      </c>
      <c r="C9">
        <v>11</v>
      </c>
      <c r="D9" s="4">
        <v>3.3076155389999999</v>
      </c>
      <c r="E9">
        <v>14</v>
      </c>
    </row>
    <row r="10" spans="1:14">
      <c r="A10">
        <v>40</v>
      </c>
      <c r="B10">
        <v>63660</v>
      </c>
      <c r="C10">
        <v>48</v>
      </c>
      <c r="D10" s="4">
        <v>2.9700707749999999</v>
      </c>
      <c r="E10">
        <v>5</v>
      </c>
      <c r="G10" s="3" t="s">
        <v>12</v>
      </c>
      <c r="H10" s="3"/>
      <c r="I10" s="3"/>
    </row>
    <row r="11" spans="1:14">
      <c r="A11">
        <v>28</v>
      </c>
      <c r="B11">
        <v>159633</v>
      </c>
      <c r="C11">
        <v>16</v>
      </c>
      <c r="D11" s="4">
        <v>1.7809719509999999</v>
      </c>
      <c r="E11">
        <v>15</v>
      </c>
      <c r="G11" s="2">
        <f>CORREL(A2:A101, B2:B101)</f>
        <v>-1.76583580121575E-2</v>
      </c>
      <c r="H11" t="s">
        <v>98</v>
      </c>
    </row>
    <row r="12" spans="1:14">
      <c r="A12">
        <v>28</v>
      </c>
      <c r="B12">
        <v>51854</v>
      </c>
      <c r="C12">
        <v>33</v>
      </c>
      <c r="D12" s="4">
        <v>3.8898084609999999</v>
      </c>
      <c r="E12">
        <v>17</v>
      </c>
      <c r="G12" t="s">
        <v>25</v>
      </c>
    </row>
    <row r="13" spans="1:14">
      <c r="A13">
        <v>41</v>
      </c>
      <c r="B13">
        <v>89505</v>
      </c>
      <c r="C13">
        <v>9</v>
      </c>
      <c r="D13" s="4">
        <v>2.1230894500000002</v>
      </c>
      <c r="E13">
        <v>14</v>
      </c>
    </row>
    <row r="14" spans="1:14">
      <c r="A14">
        <v>53</v>
      </c>
      <c r="B14">
        <v>129488</v>
      </c>
      <c r="C14">
        <v>6</v>
      </c>
      <c r="D14" s="4">
        <v>1.097263866</v>
      </c>
      <c r="E14">
        <v>5</v>
      </c>
      <c r="G14" s="3" t="s">
        <v>54</v>
      </c>
      <c r="H14" s="3"/>
      <c r="I14" s="3"/>
      <c r="J14" s="3"/>
    </row>
    <row r="15" spans="1:14">
      <c r="A15">
        <v>57</v>
      </c>
      <c r="B15">
        <v>47662</v>
      </c>
      <c r="C15">
        <v>16</v>
      </c>
      <c r="D15" s="4">
        <v>3.581889184</v>
      </c>
      <c r="E15">
        <v>12</v>
      </c>
      <c r="G15" s="10" t="s">
        <v>55</v>
      </c>
      <c r="H15" s="4">
        <f>AVERAGE(Table1[Satisfaction_Score])</f>
        <v>3.1356482992499992</v>
      </c>
      <c r="I15" t="s">
        <v>94</v>
      </c>
    </row>
    <row r="16" spans="1:14">
      <c r="A16">
        <v>41</v>
      </c>
      <c r="B16">
        <v>33392</v>
      </c>
      <c r="C16">
        <v>29</v>
      </c>
      <c r="D16" s="4">
        <v>1.7084427179999999</v>
      </c>
      <c r="E16">
        <v>16</v>
      </c>
      <c r="G16" s="10" t="s">
        <v>17</v>
      </c>
      <c r="H16" s="4">
        <f>_xlfn.STDEV.S(Table1[Satisfaction_Score])</f>
        <v>1.1712801306563787</v>
      </c>
      <c r="I16" t="s">
        <v>95</v>
      </c>
    </row>
    <row r="17" spans="1:9">
      <c r="A17">
        <v>20</v>
      </c>
      <c r="B17">
        <v>55535</v>
      </c>
      <c r="C17">
        <v>3</v>
      </c>
      <c r="D17" s="4">
        <v>4.7618343369999998</v>
      </c>
      <c r="E17">
        <v>16</v>
      </c>
      <c r="G17" s="10" t="s">
        <v>56</v>
      </c>
      <c r="H17" s="4">
        <f>(H15-2*H16)</f>
        <v>0.79308803793724181</v>
      </c>
      <c r="I17" t="s">
        <v>96</v>
      </c>
    </row>
    <row r="18" spans="1:9">
      <c r="A18">
        <v>39</v>
      </c>
      <c r="B18">
        <v>138569</v>
      </c>
      <c r="C18">
        <v>20</v>
      </c>
      <c r="D18" s="4">
        <v>4.8157143080000004</v>
      </c>
      <c r="E18">
        <v>7</v>
      </c>
      <c r="G18" s="10" t="s">
        <v>57</v>
      </c>
      <c r="H18" s="4">
        <f>(H15+2*H16)</f>
        <v>5.4782085605627566</v>
      </c>
      <c r="I18" t="s">
        <v>97</v>
      </c>
    </row>
    <row r="19" spans="1:9">
      <c r="A19">
        <v>19</v>
      </c>
      <c r="B19">
        <v>77256</v>
      </c>
      <c r="C19">
        <v>36</v>
      </c>
      <c r="D19" s="4">
        <v>4.659457561</v>
      </c>
      <c r="E19">
        <v>4</v>
      </c>
      <c r="G19" t="s">
        <v>58</v>
      </c>
    </row>
    <row r="20" spans="1:9">
      <c r="A20">
        <v>41</v>
      </c>
      <c r="B20">
        <v>114135</v>
      </c>
      <c r="C20">
        <v>19</v>
      </c>
      <c r="D20" s="4">
        <v>2.4806348009999999</v>
      </c>
      <c r="E20">
        <v>1</v>
      </c>
    </row>
    <row r="21" spans="1:9">
      <c r="A21">
        <v>61</v>
      </c>
      <c r="B21">
        <v>152478</v>
      </c>
      <c r="C21">
        <v>26</v>
      </c>
      <c r="D21" s="4">
        <v>1.0618264660000001</v>
      </c>
      <c r="E21">
        <v>5</v>
      </c>
      <c r="G21" t="s">
        <v>59</v>
      </c>
    </row>
    <row r="22" spans="1:9">
      <c r="A22">
        <v>47</v>
      </c>
      <c r="B22">
        <v>60222</v>
      </c>
      <c r="C22">
        <v>3</v>
      </c>
      <c r="D22" s="4">
        <v>4.7132742500000004</v>
      </c>
      <c r="E22">
        <v>10</v>
      </c>
    </row>
    <row r="23" spans="1:9">
      <c r="A23">
        <v>55</v>
      </c>
      <c r="B23">
        <v>102373</v>
      </c>
      <c r="C23">
        <v>19</v>
      </c>
      <c r="D23" s="4">
        <v>2.7127365929999998</v>
      </c>
      <c r="E23">
        <v>5</v>
      </c>
    </row>
    <row r="24" spans="1:9">
      <c r="A24">
        <v>19</v>
      </c>
      <c r="B24">
        <v>148684</v>
      </c>
      <c r="C24">
        <v>20</v>
      </c>
      <c r="D24" s="4">
        <v>4.8666192759999998</v>
      </c>
      <c r="E24">
        <v>4</v>
      </c>
      <c r="G24" s="3" t="s">
        <v>60</v>
      </c>
      <c r="H24" s="3"/>
    </row>
    <row r="25" spans="1:9">
      <c r="A25">
        <v>38</v>
      </c>
      <c r="B25">
        <v>35965</v>
      </c>
      <c r="C25">
        <v>32</v>
      </c>
      <c r="D25" s="4">
        <v>4.8544799080000001</v>
      </c>
      <c r="E25">
        <v>2</v>
      </c>
      <c r="G25" t="s">
        <v>55</v>
      </c>
      <c r="H25">
        <f>AVERAGE($B$2:$B$101)</f>
        <v>109321.51</v>
      </c>
      <c r="I25" t="s">
        <v>91</v>
      </c>
    </row>
    <row r="26" spans="1:9">
      <c r="A26">
        <v>50</v>
      </c>
      <c r="B26">
        <v>49538</v>
      </c>
      <c r="C26">
        <v>7</v>
      </c>
      <c r="D26" s="4">
        <v>4.4120378220000003</v>
      </c>
      <c r="E26">
        <v>10</v>
      </c>
      <c r="G26" t="s">
        <v>17</v>
      </c>
      <c r="H26" s="4">
        <f>_xlfn.STDEV.S($B$2:$B$101)</f>
        <v>44418.086324573604</v>
      </c>
      <c r="I26" t="s">
        <v>92</v>
      </c>
    </row>
    <row r="27" spans="1:9">
      <c r="A27">
        <v>29</v>
      </c>
      <c r="B27">
        <v>133066</v>
      </c>
      <c r="C27">
        <v>41</v>
      </c>
      <c r="D27" s="4">
        <v>2.1777955680000001</v>
      </c>
      <c r="E27">
        <v>19</v>
      </c>
      <c r="G27" t="s">
        <v>61</v>
      </c>
      <c r="H27" s="4">
        <f>(H26/H25)*100</f>
        <v>40.630692280570955</v>
      </c>
      <c r="I27" t="s">
        <v>93</v>
      </c>
    </row>
    <row r="28" spans="1:9">
      <c r="A28">
        <v>39</v>
      </c>
      <c r="B28">
        <v>138252</v>
      </c>
      <c r="C28">
        <v>33</v>
      </c>
      <c r="D28" s="4">
        <v>2.5403909140000001</v>
      </c>
      <c r="E28">
        <v>1</v>
      </c>
    </row>
    <row r="29" spans="1:9">
      <c r="A29">
        <v>61</v>
      </c>
      <c r="B29">
        <v>164182</v>
      </c>
      <c r="C29">
        <v>40</v>
      </c>
      <c r="D29" s="4">
        <v>4.4045466859999998</v>
      </c>
      <c r="E29">
        <v>5</v>
      </c>
      <c r="G29" s="3" t="s">
        <v>62</v>
      </c>
      <c r="H29" s="3"/>
    </row>
    <row r="30" spans="1:9">
      <c r="A30">
        <v>42</v>
      </c>
      <c r="B30">
        <v>123806</v>
      </c>
      <c r="C30">
        <v>39</v>
      </c>
      <c r="D30" s="4">
        <v>2.2676880210000001</v>
      </c>
      <c r="E30">
        <v>13</v>
      </c>
      <c r="G30" t="s">
        <v>63</v>
      </c>
      <c r="H30">
        <f>_xlfn.QUARTILE.INC($C$2:$C$101,1)</f>
        <v>13.5</v>
      </c>
      <c r="I30" t="s">
        <v>80</v>
      </c>
    </row>
    <row r="31" spans="1:9">
      <c r="A31">
        <v>44</v>
      </c>
      <c r="B31">
        <v>162982</v>
      </c>
      <c r="C31">
        <v>18</v>
      </c>
      <c r="D31" s="4">
        <v>1.6779709869999999</v>
      </c>
      <c r="E31">
        <v>4</v>
      </c>
      <c r="G31" t="s">
        <v>64</v>
      </c>
      <c r="H31">
        <f>_xlfn.QUARTILE.INC($C$2:$C$101,3)</f>
        <v>35</v>
      </c>
      <c r="I31" t="s">
        <v>81</v>
      </c>
    </row>
    <row r="32" spans="1:9">
      <c r="A32">
        <v>59</v>
      </c>
      <c r="B32">
        <v>135989</v>
      </c>
      <c r="C32">
        <v>40</v>
      </c>
      <c r="D32" s="4">
        <v>3.2272050499999998</v>
      </c>
      <c r="E32">
        <v>16</v>
      </c>
      <c r="G32" t="s">
        <v>65</v>
      </c>
      <c r="H32">
        <f>H31-H30</f>
        <v>21.5</v>
      </c>
      <c r="I32" t="s">
        <v>82</v>
      </c>
    </row>
    <row r="33" spans="1:10">
      <c r="A33">
        <v>45</v>
      </c>
      <c r="B33">
        <v>115982</v>
      </c>
      <c r="C33">
        <v>1</v>
      </c>
      <c r="D33" s="4">
        <v>4.7446190970000002</v>
      </c>
      <c r="E33">
        <v>16</v>
      </c>
    </row>
    <row r="34" spans="1:10">
      <c r="A34">
        <v>33</v>
      </c>
      <c r="B34">
        <v>146626</v>
      </c>
      <c r="C34">
        <v>11</v>
      </c>
      <c r="D34" s="4">
        <v>3.7841191869999999</v>
      </c>
      <c r="E34">
        <v>2</v>
      </c>
    </row>
    <row r="35" spans="1:10">
      <c r="A35">
        <v>32</v>
      </c>
      <c r="B35">
        <v>144176</v>
      </c>
      <c r="C35">
        <v>28</v>
      </c>
      <c r="D35" s="4">
        <v>3.28024468</v>
      </c>
      <c r="E35">
        <v>17</v>
      </c>
      <c r="G35" s="3" t="s">
        <v>71</v>
      </c>
      <c r="H35" s="3"/>
      <c r="I35" s="3"/>
    </row>
    <row r="36" spans="1:10">
      <c r="A36">
        <v>64</v>
      </c>
      <c r="B36">
        <v>156278</v>
      </c>
      <c r="C36">
        <v>25</v>
      </c>
      <c r="D36" s="4">
        <v>1.3887059749999999</v>
      </c>
      <c r="E36">
        <v>12</v>
      </c>
      <c r="G36" t="s">
        <v>72</v>
      </c>
      <c r="H36">
        <f>MAX(A2:A101) - MIN(A2:A101)</f>
        <v>46</v>
      </c>
      <c r="I36" t="s">
        <v>83</v>
      </c>
    </row>
    <row r="37" spans="1:10">
      <c r="A37">
        <v>61</v>
      </c>
      <c r="B37">
        <v>147409</v>
      </c>
      <c r="C37">
        <v>23</v>
      </c>
      <c r="D37" s="4">
        <v>3.4600289069999999</v>
      </c>
      <c r="E37">
        <v>18</v>
      </c>
      <c r="G37" t="s">
        <v>53</v>
      </c>
      <c r="H37">
        <f>MAX(B2:B101) - MIN(B2:B101)</f>
        <v>152043</v>
      </c>
      <c r="I37" t="s">
        <v>84</v>
      </c>
    </row>
    <row r="38" spans="1:10">
      <c r="A38">
        <v>20</v>
      </c>
      <c r="B38">
        <v>48419</v>
      </c>
      <c r="C38">
        <v>31</v>
      </c>
      <c r="D38" s="4">
        <v>4.9602154000000001</v>
      </c>
      <c r="E38">
        <v>3</v>
      </c>
    </row>
    <row r="39" spans="1:10">
      <c r="A39">
        <v>54</v>
      </c>
      <c r="B39">
        <v>75015</v>
      </c>
      <c r="C39">
        <v>30</v>
      </c>
      <c r="D39" s="4">
        <v>1.5603360610000001</v>
      </c>
      <c r="E39">
        <v>1</v>
      </c>
      <c r="G39" s="3" t="s">
        <v>73</v>
      </c>
      <c r="H39" s="3"/>
      <c r="I39" s="3"/>
      <c r="J39" s="3"/>
    </row>
    <row r="40" spans="1:10">
      <c r="A40">
        <v>24</v>
      </c>
      <c r="B40">
        <v>147096</v>
      </c>
      <c r="C40">
        <v>42</v>
      </c>
      <c r="D40" s="4">
        <v>3.0733186090000002</v>
      </c>
      <c r="E40">
        <v>1</v>
      </c>
      <c r="G40" t="s">
        <v>74</v>
      </c>
      <c r="H40">
        <f>_xlfn.PERCENTILE.INC($C$2:$C$101,0.25)</f>
        <v>13.5</v>
      </c>
      <c r="I40" t="s">
        <v>85</v>
      </c>
    </row>
    <row r="41" spans="1:10">
      <c r="A41">
        <v>38</v>
      </c>
      <c r="B41">
        <v>132059</v>
      </c>
      <c r="C41">
        <v>35</v>
      </c>
      <c r="D41" s="4">
        <v>4.5094922879999997</v>
      </c>
      <c r="E41">
        <v>19</v>
      </c>
      <c r="G41" t="s">
        <v>76</v>
      </c>
      <c r="H41">
        <f>_xlfn.PERCENTILE.INC($C$2:$C$101,0.5)</f>
        <v>24</v>
      </c>
      <c r="I41" t="s">
        <v>86</v>
      </c>
    </row>
    <row r="42" spans="1:10">
      <c r="A42">
        <v>26</v>
      </c>
      <c r="B42">
        <v>135687</v>
      </c>
      <c r="C42">
        <v>7</v>
      </c>
      <c r="D42" s="4">
        <v>3.9630744710000001</v>
      </c>
      <c r="E42">
        <v>11</v>
      </c>
      <c r="G42" t="s">
        <v>75</v>
      </c>
      <c r="H42">
        <f>_xlfn.PERCENTILE.INC($C$2:$C$101,0.75)</f>
        <v>35</v>
      </c>
      <c r="I42" t="s">
        <v>87</v>
      </c>
    </row>
    <row r="43" spans="1:10">
      <c r="A43">
        <v>56</v>
      </c>
      <c r="B43">
        <v>112939</v>
      </c>
      <c r="C43">
        <v>16</v>
      </c>
      <c r="D43" s="4">
        <v>3.7880629639999999</v>
      </c>
      <c r="E43">
        <v>5</v>
      </c>
    </row>
    <row r="44" spans="1:10">
      <c r="A44">
        <v>35</v>
      </c>
      <c r="B44">
        <v>174213</v>
      </c>
      <c r="C44">
        <v>26</v>
      </c>
      <c r="D44" s="4">
        <v>3.8099363359999998</v>
      </c>
      <c r="E44">
        <v>12</v>
      </c>
    </row>
    <row r="45" spans="1:10">
      <c r="A45">
        <v>21</v>
      </c>
      <c r="B45">
        <v>130878</v>
      </c>
      <c r="C45">
        <v>48</v>
      </c>
      <c r="D45" s="4">
        <v>2.4379646049999999</v>
      </c>
      <c r="E45">
        <v>3</v>
      </c>
      <c r="G45" s="3" t="s">
        <v>77</v>
      </c>
      <c r="H45" s="3"/>
      <c r="I45" s="3"/>
    </row>
    <row r="46" spans="1:10">
      <c r="A46">
        <v>42</v>
      </c>
      <c r="B46">
        <v>87623</v>
      </c>
      <c r="C46">
        <v>49</v>
      </c>
      <c r="D46" s="4">
        <v>2.1743673769999998</v>
      </c>
      <c r="E46">
        <v>1</v>
      </c>
      <c r="H46">
        <f>_xlfn.COVARIANCE.S(B2:B101, E2:E101)</f>
        <v>-20227.181414141414</v>
      </c>
      <c r="I46" t="s">
        <v>88</v>
      </c>
    </row>
    <row r="47" spans="1:10">
      <c r="A47">
        <v>31</v>
      </c>
      <c r="B47">
        <v>100450</v>
      </c>
      <c r="C47">
        <v>2</v>
      </c>
      <c r="D47" s="4">
        <v>4.2374446219999999</v>
      </c>
      <c r="E47">
        <v>1</v>
      </c>
      <c r="G47" s="10" t="s">
        <v>78</v>
      </c>
    </row>
    <row r="48" spans="1:10">
      <c r="A48">
        <v>26</v>
      </c>
      <c r="B48">
        <v>118426</v>
      </c>
      <c r="C48">
        <v>1</v>
      </c>
      <c r="D48" s="4">
        <v>4.2404535790000004</v>
      </c>
      <c r="E48">
        <v>8</v>
      </c>
    </row>
    <row r="49" spans="1:11">
      <c r="A49">
        <v>43</v>
      </c>
      <c r="B49">
        <v>142845</v>
      </c>
      <c r="C49">
        <v>48</v>
      </c>
      <c r="D49" s="4">
        <v>4.468289274</v>
      </c>
      <c r="E49">
        <v>10</v>
      </c>
    </row>
    <row r="50" spans="1:11">
      <c r="A50">
        <v>19</v>
      </c>
      <c r="B50">
        <v>178371</v>
      </c>
      <c r="C50">
        <v>12</v>
      </c>
      <c r="D50" s="4">
        <v>4.6529622100000001</v>
      </c>
      <c r="E50">
        <v>11</v>
      </c>
      <c r="G50" s="3" t="s">
        <v>79</v>
      </c>
      <c r="H50" s="11"/>
      <c r="I50" s="11"/>
      <c r="J50" s="11"/>
    </row>
    <row r="51" spans="1:11">
      <c r="A51">
        <v>37</v>
      </c>
      <c r="B51">
        <v>68585</v>
      </c>
      <c r="C51">
        <v>5</v>
      </c>
      <c r="D51" s="4">
        <v>3.0453695949999999</v>
      </c>
      <c r="E51">
        <v>12</v>
      </c>
      <c r="G51" t="s">
        <v>19</v>
      </c>
      <c r="H51">
        <f>SKEW($A$2:$A$101)</f>
        <v>7.9166331444670376E-2</v>
      </c>
      <c r="I51" t="s">
        <v>89</v>
      </c>
    </row>
    <row r="52" spans="1:11">
      <c r="A52">
        <v>45</v>
      </c>
      <c r="B52">
        <v>134225</v>
      </c>
      <c r="C52">
        <v>37</v>
      </c>
      <c r="D52" s="4">
        <v>3.0060651790000001</v>
      </c>
      <c r="E52">
        <v>13</v>
      </c>
      <c r="G52" t="s">
        <v>11</v>
      </c>
      <c r="H52">
        <f>KURT(A2:A101)</f>
        <v>-1.1665488564043374</v>
      </c>
      <c r="I52" t="s">
        <v>90</v>
      </c>
    </row>
    <row r="53" spans="1:11">
      <c r="A53">
        <v>64</v>
      </c>
      <c r="B53">
        <v>89044</v>
      </c>
      <c r="C53">
        <v>32</v>
      </c>
      <c r="D53" s="4">
        <v>4.1931807159999996</v>
      </c>
      <c r="E53">
        <v>12</v>
      </c>
    </row>
    <row r="54" spans="1:11">
      <c r="A54">
        <v>24</v>
      </c>
      <c r="B54">
        <v>134556</v>
      </c>
      <c r="C54">
        <v>9</v>
      </c>
      <c r="D54" s="4">
        <v>3.5998557230000001</v>
      </c>
      <c r="E54">
        <v>14</v>
      </c>
    </row>
    <row r="55" spans="1:11">
      <c r="A55">
        <v>61</v>
      </c>
      <c r="B55">
        <v>27693</v>
      </c>
      <c r="C55">
        <v>41</v>
      </c>
      <c r="D55" s="4">
        <v>3.8078675089999998</v>
      </c>
      <c r="E55">
        <v>2</v>
      </c>
      <c r="G55" s="3" t="s">
        <v>103</v>
      </c>
      <c r="H55" s="3"/>
      <c r="I55" s="3"/>
      <c r="J55" s="3"/>
      <c r="K55" s="3"/>
    </row>
    <row r="56" spans="1:11">
      <c r="A56">
        <v>25</v>
      </c>
      <c r="B56">
        <v>120259</v>
      </c>
      <c r="C56">
        <v>35</v>
      </c>
      <c r="D56" s="4">
        <v>4.1831706779999998</v>
      </c>
      <c r="E56">
        <v>19</v>
      </c>
      <c r="G56">
        <f>STANDARDIZE(D2, AVERAGE($D$2:$D$101), _xlfn.STDEV.P($D$2:$D$101))</f>
        <v>-0.99509246109268301</v>
      </c>
    </row>
    <row r="57" spans="1:11">
      <c r="A57">
        <v>64</v>
      </c>
      <c r="B57">
        <v>50939</v>
      </c>
      <c r="C57">
        <v>19</v>
      </c>
      <c r="D57" s="4">
        <v>4.560021367</v>
      </c>
      <c r="E57">
        <v>18</v>
      </c>
      <c r="G57" s="13" t="s">
        <v>104</v>
      </c>
    </row>
    <row r="58" spans="1:11">
      <c r="A58">
        <v>52</v>
      </c>
      <c r="B58">
        <v>177906</v>
      </c>
      <c r="C58">
        <v>48</v>
      </c>
      <c r="D58" s="4">
        <v>2.3519806270000001</v>
      </c>
      <c r="E58">
        <v>3</v>
      </c>
    </row>
    <row r="59" spans="1:11">
      <c r="A59">
        <v>31</v>
      </c>
      <c r="B59">
        <v>43047</v>
      </c>
      <c r="C59">
        <v>16</v>
      </c>
      <c r="D59" s="4">
        <v>2.5023318109999999</v>
      </c>
      <c r="E59">
        <v>17</v>
      </c>
    </row>
    <row r="60" spans="1:11">
      <c r="A60">
        <v>34</v>
      </c>
      <c r="B60">
        <v>51105</v>
      </c>
      <c r="C60">
        <v>3</v>
      </c>
      <c r="D60" s="4">
        <v>1.3759277590000001</v>
      </c>
      <c r="E60">
        <v>8</v>
      </c>
    </row>
    <row r="61" spans="1:11">
      <c r="A61">
        <v>53</v>
      </c>
      <c r="B61">
        <v>100766</v>
      </c>
      <c r="C61">
        <v>20</v>
      </c>
      <c r="D61" s="4">
        <v>3.3131205640000001</v>
      </c>
      <c r="E61">
        <v>10</v>
      </c>
    </row>
    <row r="62" spans="1:11">
      <c r="A62">
        <v>57</v>
      </c>
      <c r="B62">
        <v>171779</v>
      </c>
      <c r="C62">
        <v>24</v>
      </c>
      <c r="D62" s="4">
        <v>1.1437690949999999</v>
      </c>
      <c r="E62">
        <v>2</v>
      </c>
    </row>
    <row r="63" spans="1:11">
      <c r="A63">
        <v>21</v>
      </c>
      <c r="B63">
        <v>178048</v>
      </c>
      <c r="C63">
        <v>33</v>
      </c>
      <c r="D63" s="4">
        <v>2.8623920730000001</v>
      </c>
      <c r="E63">
        <v>19</v>
      </c>
    </row>
    <row r="64" spans="1:11">
      <c r="A64">
        <v>19</v>
      </c>
      <c r="B64">
        <v>69262</v>
      </c>
      <c r="C64">
        <v>24</v>
      </c>
      <c r="D64" s="4">
        <v>3.1705785390000001</v>
      </c>
      <c r="E64">
        <v>9</v>
      </c>
    </row>
    <row r="65" spans="1:5">
      <c r="A65">
        <v>23</v>
      </c>
      <c r="B65">
        <v>150117</v>
      </c>
      <c r="C65">
        <v>11</v>
      </c>
      <c r="D65" s="4">
        <v>2.1461650090000002</v>
      </c>
      <c r="E65">
        <v>7</v>
      </c>
    </row>
    <row r="66" spans="1:5">
      <c r="A66">
        <v>59</v>
      </c>
      <c r="B66">
        <v>48776</v>
      </c>
      <c r="C66">
        <v>49</v>
      </c>
      <c r="D66" s="4">
        <v>3.3633330419999998</v>
      </c>
      <c r="E66">
        <v>4</v>
      </c>
    </row>
    <row r="67" spans="1:5">
      <c r="A67">
        <v>21</v>
      </c>
      <c r="B67">
        <v>153376</v>
      </c>
      <c r="C67">
        <v>8</v>
      </c>
      <c r="D67" s="4">
        <v>1.122001</v>
      </c>
      <c r="E67">
        <v>18</v>
      </c>
    </row>
    <row r="68" spans="1:5">
      <c r="A68">
        <v>46</v>
      </c>
      <c r="B68">
        <v>162848</v>
      </c>
      <c r="C68">
        <v>36</v>
      </c>
      <c r="D68" s="4">
        <v>1.149392755</v>
      </c>
      <c r="E68">
        <v>13</v>
      </c>
    </row>
    <row r="69" spans="1:5">
      <c r="A69">
        <v>35</v>
      </c>
      <c r="B69">
        <v>117787</v>
      </c>
      <c r="C69">
        <v>38</v>
      </c>
      <c r="D69" s="4">
        <v>4.2904022429999999</v>
      </c>
      <c r="E69">
        <v>11</v>
      </c>
    </row>
    <row r="70" spans="1:5">
      <c r="A70">
        <v>43</v>
      </c>
      <c r="B70">
        <v>152948</v>
      </c>
      <c r="C70">
        <v>40</v>
      </c>
      <c r="D70" s="4">
        <v>2.4407625660000001</v>
      </c>
      <c r="E70">
        <v>4</v>
      </c>
    </row>
    <row r="71" spans="1:5">
      <c r="A71">
        <v>61</v>
      </c>
      <c r="B71">
        <v>80016</v>
      </c>
      <c r="C71">
        <v>20</v>
      </c>
      <c r="D71" s="4">
        <v>1.5082420510000001</v>
      </c>
      <c r="E71">
        <v>4</v>
      </c>
    </row>
    <row r="72" spans="1:5">
      <c r="A72">
        <v>51</v>
      </c>
      <c r="B72">
        <v>165546</v>
      </c>
      <c r="C72">
        <v>35</v>
      </c>
      <c r="D72" s="4">
        <v>3.0889730399999999</v>
      </c>
      <c r="E72">
        <v>10</v>
      </c>
    </row>
    <row r="73" spans="1:5">
      <c r="A73">
        <v>27</v>
      </c>
      <c r="B73">
        <v>46959</v>
      </c>
      <c r="C73">
        <v>48</v>
      </c>
      <c r="D73" s="4">
        <v>4.0799742119999998</v>
      </c>
      <c r="E73">
        <v>5</v>
      </c>
    </row>
    <row r="74" spans="1:5">
      <c r="A74">
        <v>53</v>
      </c>
      <c r="B74">
        <v>161602</v>
      </c>
      <c r="C74">
        <v>25</v>
      </c>
      <c r="D74" s="4">
        <v>1.8632841099999999</v>
      </c>
      <c r="E74">
        <v>9</v>
      </c>
    </row>
    <row r="75" spans="1:5">
      <c r="A75">
        <v>31</v>
      </c>
      <c r="B75">
        <v>144101</v>
      </c>
      <c r="C75">
        <v>35</v>
      </c>
      <c r="D75" s="4">
        <v>3.491561903</v>
      </c>
      <c r="E75">
        <v>3</v>
      </c>
    </row>
    <row r="76" spans="1:5">
      <c r="A76">
        <v>48</v>
      </c>
      <c r="B76">
        <v>28748</v>
      </c>
      <c r="C76">
        <v>25</v>
      </c>
      <c r="D76" s="4">
        <v>1.34138986</v>
      </c>
      <c r="E76">
        <v>17</v>
      </c>
    </row>
    <row r="77" spans="1:5">
      <c r="A77">
        <v>32</v>
      </c>
      <c r="B77">
        <v>38545</v>
      </c>
      <c r="C77">
        <v>29</v>
      </c>
      <c r="D77" s="4">
        <v>1.2067268849999999</v>
      </c>
      <c r="E77">
        <v>3</v>
      </c>
    </row>
    <row r="78" spans="1:5">
      <c r="A78">
        <v>25</v>
      </c>
      <c r="B78">
        <v>152659</v>
      </c>
      <c r="C78">
        <v>18</v>
      </c>
      <c r="D78" s="4">
        <v>3.1254185259999998</v>
      </c>
      <c r="E78">
        <v>16</v>
      </c>
    </row>
    <row r="79" spans="1:5">
      <c r="A79">
        <v>31</v>
      </c>
      <c r="B79">
        <v>98530</v>
      </c>
      <c r="C79">
        <v>46</v>
      </c>
      <c r="D79" s="4">
        <v>3.1625404860000002</v>
      </c>
      <c r="E79">
        <v>4</v>
      </c>
    </row>
    <row r="80" spans="1:5">
      <c r="A80">
        <v>40</v>
      </c>
      <c r="B80">
        <v>118557</v>
      </c>
      <c r="C80">
        <v>18</v>
      </c>
      <c r="D80" s="4">
        <v>3.549719606</v>
      </c>
      <c r="E80">
        <v>18</v>
      </c>
    </row>
    <row r="81" spans="1:5">
      <c r="A81">
        <v>57</v>
      </c>
      <c r="B81">
        <v>86087</v>
      </c>
      <c r="C81">
        <v>2</v>
      </c>
      <c r="D81" s="4">
        <v>3.904365335</v>
      </c>
      <c r="E81">
        <v>17</v>
      </c>
    </row>
    <row r="82" spans="1:5">
      <c r="A82">
        <v>38</v>
      </c>
      <c r="B82">
        <v>93840</v>
      </c>
      <c r="C82">
        <v>35</v>
      </c>
      <c r="D82" s="4">
        <v>4.9034083180000003</v>
      </c>
      <c r="E82">
        <v>7</v>
      </c>
    </row>
    <row r="83" spans="1:5">
      <c r="A83">
        <v>33</v>
      </c>
      <c r="B83">
        <v>143451</v>
      </c>
      <c r="C83">
        <v>16</v>
      </c>
      <c r="D83" s="4">
        <v>3.0652013930000002</v>
      </c>
      <c r="E83">
        <v>5</v>
      </c>
    </row>
    <row r="84" spans="1:5">
      <c r="A84">
        <v>62</v>
      </c>
      <c r="B84">
        <v>76005</v>
      </c>
      <c r="C84">
        <v>41</v>
      </c>
      <c r="D84" s="4">
        <v>2.2918258919999999</v>
      </c>
      <c r="E84">
        <v>12</v>
      </c>
    </row>
    <row r="85" spans="1:5">
      <c r="A85">
        <v>35</v>
      </c>
      <c r="B85">
        <v>64353</v>
      </c>
      <c r="C85">
        <v>36</v>
      </c>
      <c r="D85" s="4">
        <v>4.1807447790000003</v>
      </c>
      <c r="E85">
        <v>17</v>
      </c>
    </row>
    <row r="86" spans="1:5">
      <c r="A86">
        <v>64</v>
      </c>
      <c r="B86">
        <v>77733</v>
      </c>
      <c r="C86">
        <v>33</v>
      </c>
      <c r="D86" s="4">
        <v>2.083329005</v>
      </c>
      <c r="E86">
        <v>13</v>
      </c>
    </row>
    <row r="87" spans="1:5">
      <c r="A87">
        <v>41</v>
      </c>
      <c r="B87">
        <v>90318</v>
      </c>
      <c r="C87">
        <v>4</v>
      </c>
      <c r="D87" s="4">
        <v>2.7558856829999998</v>
      </c>
      <c r="E87">
        <v>3</v>
      </c>
    </row>
    <row r="88" spans="1:5">
      <c r="A88">
        <v>43</v>
      </c>
      <c r="B88">
        <v>179736</v>
      </c>
      <c r="C88">
        <v>33</v>
      </c>
      <c r="D88" s="4">
        <v>1.3138255249999999</v>
      </c>
      <c r="E88">
        <v>9</v>
      </c>
    </row>
    <row r="89" spans="1:5">
      <c r="A89">
        <v>42</v>
      </c>
      <c r="B89">
        <v>92172</v>
      </c>
      <c r="C89">
        <v>14</v>
      </c>
      <c r="D89" s="4">
        <v>1.101402974</v>
      </c>
      <c r="E89">
        <v>17</v>
      </c>
    </row>
    <row r="90" spans="1:5">
      <c r="A90">
        <v>62</v>
      </c>
      <c r="B90">
        <v>118264</v>
      </c>
      <c r="C90">
        <v>21</v>
      </c>
      <c r="D90" s="4">
        <v>4.8505936590000003</v>
      </c>
      <c r="E90">
        <v>17</v>
      </c>
    </row>
    <row r="91" spans="1:5">
      <c r="A91">
        <v>58</v>
      </c>
      <c r="B91">
        <v>51736</v>
      </c>
      <c r="C91">
        <v>48</v>
      </c>
      <c r="D91" s="4">
        <v>4.3439204819999997</v>
      </c>
      <c r="E91">
        <v>16</v>
      </c>
    </row>
    <row r="92" spans="1:5">
      <c r="A92">
        <v>46</v>
      </c>
      <c r="B92">
        <v>137859</v>
      </c>
      <c r="C92">
        <v>20</v>
      </c>
      <c r="D92" s="4">
        <v>3.7838968240000002</v>
      </c>
      <c r="E92">
        <v>13</v>
      </c>
    </row>
    <row r="93" spans="1:5">
      <c r="A93">
        <v>32</v>
      </c>
      <c r="B93">
        <v>137181</v>
      </c>
      <c r="C93">
        <v>8</v>
      </c>
      <c r="D93" s="4">
        <v>2.6358117779999999</v>
      </c>
      <c r="E93">
        <v>19</v>
      </c>
    </row>
    <row r="94" spans="1:5">
      <c r="A94">
        <v>62</v>
      </c>
      <c r="B94">
        <v>156926</v>
      </c>
      <c r="C94">
        <v>7</v>
      </c>
      <c r="D94" s="4">
        <v>1.69317728</v>
      </c>
      <c r="E94">
        <v>17</v>
      </c>
    </row>
    <row r="95" spans="1:5">
      <c r="A95">
        <v>18</v>
      </c>
      <c r="B95">
        <v>115084</v>
      </c>
      <c r="C95">
        <v>3</v>
      </c>
      <c r="D95" s="4">
        <v>1.6257481709999999</v>
      </c>
      <c r="E95">
        <v>4</v>
      </c>
    </row>
    <row r="96" spans="1:5">
      <c r="A96">
        <v>42</v>
      </c>
      <c r="B96">
        <v>32392</v>
      </c>
      <c r="C96">
        <v>17</v>
      </c>
      <c r="D96" s="4">
        <v>2.000971593</v>
      </c>
      <c r="E96">
        <v>12</v>
      </c>
    </row>
    <row r="97" spans="1:5">
      <c r="A97">
        <v>24</v>
      </c>
      <c r="B97">
        <v>80680</v>
      </c>
      <c r="C97">
        <v>33</v>
      </c>
      <c r="D97" s="4">
        <v>3.1969066590000002</v>
      </c>
      <c r="E97">
        <v>9</v>
      </c>
    </row>
    <row r="98" spans="1:5">
      <c r="A98">
        <v>26</v>
      </c>
      <c r="B98">
        <v>75859</v>
      </c>
      <c r="C98">
        <v>48</v>
      </c>
      <c r="D98" s="4">
        <v>3.8583836909999998</v>
      </c>
      <c r="E98">
        <v>19</v>
      </c>
    </row>
    <row r="99" spans="1:5">
      <c r="A99">
        <v>41</v>
      </c>
      <c r="B99">
        <v>150657</v>
      </c>
      <c r="C99">
        <v>12</v>
      </c>
      <c r="D99" s="4">
        <v>3.640789507</v>
      </c>
      <c r="E99">
        <v>12</v>
      </c>
    </row>
    <row r="100" spans="1:5">
      <c r="A100">
        <v>18</v>
      </c>
      <c r="B100">
        <v>95467</v>
      </c>
      <c r="C100">
        <v>22</v>
      </c>
      <c r="D100" s="4">
        <v>2.1197355880000002</v>
      </c>
      <c r="E100">
        <v>9</v>
      </c>
    </row>
    <row r="101" spans="1:5">
      <c r="A101">
        <v>61</v>
      </c>
      <c r="B101">
        <v>123506</v>
      </c>
      <c r="C101">
        <v>22</v>
      </c>
      <c r="D101" s="4">
        <v>4.819461123</v>
      </c>
      <c r="E101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E277-662D-4C01-81D5-D4DE4264B301}">
  <dimension ref="A1:F6"/>
  <sheetViews>
    <sheetView workbookViewId="0">
      <selection activeCell="G25" sqref="G25"/>
    </sheetView>
  </sheetViews>
  <sheetFormatPr defaultRowHeight="14.4"/>
  <sheetData>
    <row r="1" spans="1:6">
      <c r="A1" s="12"/>
      <c r="B1" s="12" t="s">
        <v>66</v>
      </c>
      <c r="C1" s="12" t="s">
        <v>67</v>
      </c>
      <c r="D1" s="12" t="s">
        <v>68</v>
      </c>
      <c r="E1" s="12" t="s">
        <v>69</v>
      </c>
      <c r="F1" s="12" t="s">
        <v>70</v>
      </c>
    </row>
    <row r="2" spans="1:6">
      <c r="A2" t="s">
        <v>66</v>
      </c>
      <c r="B2">
        <v>1</v>
      </c>
    </row>
    <row r="3" spans="1:6">
      <c r="A3" t="s">
        <v>67</v>
      </c>
      <c r="B3">
        <v>-1.76583580121575E-2</v>
      </c>
      <c r="C3">
        <v>1</v>
      </c>
    </row>
    <row r="4" spans="1:6">
      <c r="A4" t="s">
        <v>68</v>
      </c>
      <c r="B4">
        <v>6.1269927716477567E-2</v>
      </c>
      <c r="C4">
        <v>-1.5562351235101841E-3</v>
      </c>
      <c r="D4">
        <v>1</v>
      </c>
    </row>
    <row r="5" spans="1:6">
      <c r="A5" t="s">
        <v>69</v>
      </c>
      <c r="B5">
        <v>-0.10558671521200913</v>
      </c>
      <c r="C5">
        <v>-0.16429646343729251</v>
      </c>
      <c r="D5">
        <v>2.4925181778336872E-2</v>
      </c>
      <c r="E5">
        <v>1</v>
      </c>
    </row>
    <row r="6" spans="1:6" ht="15" thickBot="1">
      <c r="A6" s="1" t="s">
        <v>70</v>
      </c>
      <c r="B6" s="1">
        <v>-1.2339678809961185E-2</v>
      </c>
      <c r="C6" s="1">
        <v>-7.8238758975678377E-2</v>
      </c>
      <c r="D6" s="1">
        <v>-0.16184622628463602</v>
      </c>
      <c r="E6" s="1">
        <v>8.8200793786690324E-2</v>
      </c>
      <c r="F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6D36-E8F8-42DF-B811-1AD468C3107B}">
  <dimension ref="A1:J15"/>
  <sheetViews>
    <sheetView workbookViewId="0">
      <selection activeCell="C24" sqref="C24"/>
    </sheetView>
  </sheetViews>
  <sheetFormatPr defaultRowHeight="14.4"/>
  <cols>
    <col min="1" max="1" width="16.5546875" bestFit="1" customWidth="1"/>
    <col min="3" max="3" width="16.5546875" bestFit="1" customWidth="1"/>
    <col min="5" max="5" width="16.5546875" bestFit="1" customWidth="1"/>
    <col min="7" max="7" width="16.5546875" bestFit="1" customWidth="1"/>
    <col min="8" max="8" width="12.6640625" bestFit="1" customWidth="1"/>
    <col min="9" max="9" width="16.5546875" bestFit="1" customWidth="1"/>
  </cols>
  <sheetData>
    <row r="1" spans="1:10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</row>
    <row r="3" spans="1:10">
      <c r="A3" t="s">
        <v>13</v>
      </c>
      <c r="B3">
        <v>40.880000000000003</v>
      </c>
      <c r="C3" t="s">
        <v>13</v>
      </c>
      <c r="D3">
        <v>109321.51</v>
      </c>
      <c r="E3" t="s">
        <v>13</v>
      </c>
      <c r="F3">
        <v>24.47</v>
      </c>
      <c r="G3" t="s">
        <v>13</v>
      </c>
      <c r="H3">
        <v>3.1356482992499992</v>
      </c>
      <c r="I3" t="s">
        <v>13</v>
      </c>
      <c r="J3">
        <v>9.9600000000000009</v>
      </c>
    </row>
    <row r="4" spans="1:10">
      <c r="A4" t="s">
        <v>14</v>
      </c>
      <c r="B4">
        <v>1.3990819500766576</v>
      </c>
      <c r="C4" t="s">
        <v>14</v>
      </c>
      <c r="D4">
        <v>4441.8086324573605</v>
      </c>
      <c r="E4" t="s">
        <v>14</v>
      </c>
      <c r="F4">
        <v>1.3994555218283138</v>
      </c>
      <c r="G4" t="s">
        <v>14</v>
      </c>
      <c r="H4">
        <v>0.11712801306563787</v>
      </c>
      <c r="I4" t="s">
        <v>14</v>
      </c>
      <c r="J4">
        <v>0.58204099269013443</v>
      </c>
    </row>
    <row r="5" spans="1:10">
      <c r="A5" t="s">
        <v>15</v>
      </c>
      <c r="B5">
        <v>41</v>
      </c>
      <c r="C5" t="s">
        <v>15</v>
      </c>
      <c r="D5">
        <v>118025.5</v>
      </c>
      <c r="E5" t="s">
        <v>15</v>
      </c>
      <c r="F5">
        <v>24</v>
      </c>
      <c r="G5" t="s">
        <v>15</v>
      </c>
      <c r="H5">
        <v>3.1837425990000003</v>
      </c>
      <c r="I5" t="s">
        <v>15</v>
      </c>
      <c r="J5">
        <v>10</v>
      </c>
    </row>
    <row r="6" spans="1:10">
      <c r="A6" t="s">
        <v>16</v>
      </c>
      <c r="B6">
        <v>61</v>
      </c>
      <c r="C6" t="s">
        <v>16</v>
      </c>
      <c r="D6" t="e">
        <v>#N/A</v>
      </c>
      <c r="E6" t="s">
        <v>16</v>
      </c>
      <c r="F6">
        <v>48</v>
      </c>
      <c r="G6" t="s">
        <v>16</v>
      </c>
      <c r="H6" t="e">
        <v>#N/A</v>
      </c>
      <c r="I6" t="s">
        <v>16</v>
      </c>
      <c r="J6">
        <v>5</v>
      </c>
    </row>
    <row r="7" spans="1:10">
      <c r="A7" t="s">
        <v>17</v>
      </c>
      <c r="B7">
        <v>13.990819500766575</v>
      </c>
      <c r="C7" t="s">
        <v>17</v>
      </c>
      <c r="D7">
        <v>44418.086324573604</v>
      </c>
      <c r="E7" t="s">
        <v>17</v>
      </c>
      <c r="F7">
        <v>13.994555218283137</v>
      </c>
      <c r="G7" t="s">
        <v>17</v>
      </c>
      <c r="H7">
        <v>1.1712801306563787</v>
      </c>
      <c r="I7" t="s">
        <v>17</v>
      </c>
      <c r="J7">
        <v>5.8204099269013447</v>
      </c>
    </row>
    <row r="8" spans="1:10">
      <c r="A8" t="s">
        <v>18</v>
      </c>
      <c r="B8">
        <v>195.74303030303028</v>
      </c>
      <c r="C8" t="s">
        <v>18</v>
      </c>
      <c r="D8">
        <v>1972966392.7372727</v>
      </c>
      <c r="E8" t="s">
        <v>18</v>
      </c>
      <c r="F8">
        <v>195.84757575757578</v>
      </c>
      <c r="G8" t="s">
        <v>18</v>
      </c>
      <c r="H8">
        <v>1.3718971444704235</v>
      </c>
      <c r="I8" t="s">
        <v>18</v>
      </c>
      <c r="J8">
        <v>33.87717171717172</v>
      </c>
    </row>
    <row r="9" spans="1:10">
      <c r="A9" t="s">
        <v>11</v>
      </c>
      <c r="B9">
        <v>-1.1665488564043374</v>
      </c>
      <c r="C9" t="s">
        <v>11</v>
      </c>
      <c r="D9">
        <v>-1.2236234886974053</v>
      </c>
      <c r="E9" t="s">
        <v>11</v>
      </c>
      <c r="F9">
        <v>-1.055159061973828</v>
      </c>
      <c r="G9" t="s">
        <v>11</v>
      </c>
      <c r="H9">
        <v>-1.1378841235558399</v>
      </c>
      <c r="I9" t="s">
        <v>11</v>
      </c>
      <c r="J9">
        <v>-1.366491096177314</v>
      </c>
    </row>
    <row r="10" spans="1:10">
      <c r="A10" t="s">
        <v>19</v>
      </c>
      <c r="B10">
        <v>7.9166331444670376E-2</v>
      </c>
      <c r="C10" t="s">
        <v>19</v>
      </c>
      <c r="D10">
        <v>-0.25307872181127566</v>
      </c>
      <c r="E10" t="s">
        <v>19</v>
      </c>
      <c r="F10">
        <v>4.8663601904092149E-2</v>
      </c>
      <c r="G10" t="s">
        <v>19</v>
      </c>
      <c r="H10">
        <v>-0.16614507010007359</v>
      </c>
      <c r="I10" t="s">
        <v>19</v>
      </c>
      <c r="J10">
        <v>3.7765578908519663E-2</v>
      </c>
    </row>
    <row r="11" spans="1:10">
      <c r="A11" t="s">
        <v>20</v>
      </c>
      <c r="B11">
        <v>46</v>
      </c>
      <c r="C11" t="s">
        <v>20</v>
      </c>
      <c r="D11">
        <v>152043</v>
      </c>
      <c r="E11" t="s">
        <v>20</v>
      </c>
      <c r="F11">
        <v>48</v>
      </c>
      <c r="G11" t="s">
        <v>20</v>
      </c>
      <c r="H11">
        <v>3.8983889339999998</v>
      </c>
      <c r="I11" t="s">
        <v>20</v>
      </c>
      <c r="J11">
        <v>18</v>
      </c>
    </row>
    <row r="12" spans="1:10">
      <c r="A12" t="s">
        <v>21</v>
      </c>
      <c r="B12">
        <v>18</v>
      </c>
      <c r="C12" t="s">
        <v>21</v>
      </c>
      <c r="D12">
        <v>27693</v>
      </c>
      <c r="E12" t="s">
        <v>21</v>
      </c>
      <c r="F12">
        <v>1</v>
      </c>
      <c r="G12" t="s">
        <v>21</v>
      </c>
      <c r="H12">
        <v>1.0618264660000001</v>
      </c>
      <c r="I12" t="s">
        <v>21</v>
      </c>
      <c r="J12">
        <v>1</v>
      </c>
    </row>
    <row r="13" spans="1:10">
      <c r="A13" t="s">
        <v>22</v>
      </c>
      <c r="B13">
        <v>64</v>
      </c>
      <c r="C13" t="s">
        <v>22</v>
      </c>
      <c r="D13">
        <v>179736</v>
      </c>
      <c r="E13" t="s">
        <v>22</v>
      </c>
      <c r="F13">
        <v>49</v>
      </c>
      <c r="G13" t="s">
        <v>22</v>
      </c>
      <c r="H13">
        <v>4.9602154000000001</v>
      </c>
      <c r="I13" t="s">
        <v>22</v>
      </c>
      <c r="J13">
        <v>19</v>
      </c>
    </row>
    <row r="14" spans="1:10">
      <c r="A14" t="s">
        <v>23</v>
      </c>
      <c r="B14">
        <v>4088</v>
      </c>
      <c r="C14" t="s">
        <v>23</v>
      </c>
      <c r="D14">
        <v>10932151</v>
      </c>
      <c r="E14" t="s">
        <v>23</v>
      </c>
      <c r="F14">
        <v>2447</v>
      </c>
      <c r="G14" t="s">
        <v>23</v>
      </c>
      <c r="H14">
        <v>313.56482992499991</v>
      </c>
      <c r="I14" t="s">
        <v>23</v>
      </c>
      <c r="J14">
        <v>996</v>
      </c>
    </row>
    <row r="15" spans="1:10" ht="15" thickBot="1">
      <c r="A15" s="1" t="s">
        <v>24</v>
      </c>
      <c r="B15" s="1">
        <v>100</v>
      </c>
      <c r="C15" s="1" t="s">
        <v>24</v>
      </c>
      <c r="D15" s="1">
        <v>100</v>
      </c>
      <c r="E15" s="1" t="s">
        <v>24</v>
      </c>
      <c r="F15" s="1">
        <v>100</v>
      </c>
      <c r="G15" s="1" t="s">
        <v>24</v>
      </c>
      <c r="H15" s="1">
        <v>100</v>
      </c>
      <c r="I15" s="1" t="s">
        <v>24</v>
      </c>
      <c r="J15" s="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04B8-F7EC-4806-8D9F-CD73650FBBCE}">
  <dimension ref="A2:N104"/>
  <sheetViews>
    <sheetView workbookViewId="0">
      <selection activeCell="G25" sqref="G25"/>
    </sheetView>
  </sheetViews>
  <sheetFormatPr defaultRowHeight="14.4"/>
  <cols>
    <col min="1" max="1" width="12.109375" bestFit="1" customWidth="1"/>
    <col min="2" max="2" width="12.5546875" bestFit="1" customWidth="1"/>
    <col min="3" max="3" width="10.6640625" bestFit="1" customWidth="1"/>
    <col min="4" max="4" width="18.21875" bestFit="1" customWidth="1"/>
    <col min="5" max="6" width="21.5546875" bestFit="1" customWidth="1"/>
    <col min="7" max="7" width="10.77734375" bestFit="1" customWidth="1"/>
    <col min="8" max="8" width="21" bestFit="1" customWidth="1"/>
    <col min="11" max="11" width="12.109375" bestFit="1" customWidth="1"/>
    <col min="12" max="12" width="21.88671875" customWidth="1"/>
    <col min="13" max="13" width="12.109375" bestFit="1" customWidth="1"/>
    <col min="14" max="14" width="12.44140625" bestFit="1" customWidth="1"/>
  </cols>
  <sheetData>
    <row r="2" spans="1:14">
      <c r="A2" s="3" t="s">
        <v>33</v>
      </c>
      <c r="B2" s="3"/>
      <c r="D2" s="3" t="s">
        <v>40</v>
      </c>
      <c r="E2" s="3"/>
      <c r="F2" s="3"/>
      <c r="G2" s="3" t="s">
        <v>39</v>
      </c>
      <c r="H2" s="3"/>
      <c r="I2" s="3"/>
      <c r="K2" s="3" t="s">
        <v>44</v>
      </c>
      <c r="L2" s="3"/>
      <c r="M2" s="3"/>
      <c r="N2" s="3"/>
    </row>
    <row r="3" spans="1:14">
      <c r="A3" s="5" t="s">
        <v>35</v>
      </c>
      <c r="B3" t="s">
        <v>26</v>
      </c>
      <c r="D3" s="5" t="s">
        <v>37</v>
      </c>
      <c r="E3" t="s">
        <v>34</v>
      </c>
      <c r="G3" s="5" t="s">
        <v>38</v>
      </c>
      <c r="H3" t="s">
        <v>36</v>
      </c>
      <c r="K3" s="5" t="s">
        <v>35</v>
      </c>
      <c r="L3" t="s">
        <v>41</v>
      </c>
      <c r="M3" t="s">
        <v>43</v>
      </c>
      <c r="N3" t="s">
        <v>42</v>
      </c>
    </row>
    <row r="4" spans="1:14">
      <c r="A4" s="6" t="s">
        <v>28</v>
      </c>
      <c r="B4">
        <v>2451664</v>
      </c>
      <c r="D4" s="7">
        <v>1.0618264660000001</v>
      </c>
      <c r="E4">
        <v>26</v>
      </c>
      <c r="G4" s="6">
        <v>1</v>
      </c>
      <c r="H4">
        <v>6</v>
      </c>
      <c r="K4" s="6" t="s">
        <v>28</v>
      </c>
      <c r="L4" s="8">
        <v>111439.27272727272</v>
      </c>
      <c r="M4">
        <v>38986</v>
      </c>
      <c r="N4">
        <v>178371</v>
      </c>
    </row>
    <row r="5" spans="1:14">
      <c r="A5" s="6" t="s">
        <v>29</v>
      </c>
      <c r="B5">
        <v>2015699</v>
      </c>
      <c r="D5" s="7">
        <v>1.097263866</v>
      </c>
      <c r="E5">
        <v>6</v>
      </c>
      <c r="G5" s="6">
        <v>2</v>
      </c>
      <c r="H5">
        <v>8</v>
      </c>
      <c r="K5" s="6" t="s">
        <v>29</v>
      </c>
      <c r="L5" s="8">
        <v>106089.42105263157</v>
      </c>
      <c r="M5">
        <v>37666</v>
      </c>
      <c r="N5">
        <v>174213</v>
      </c>
    </row>
    <row r="6" spans="1:14">
      <c r="A6" s="6" t="s">
        <v>30</v>
      </c>
      <c r="B6">
        <v>3020782</v>
      </c>
      <c r="D6" s="7">
        <v>1.101402974</v>
      </c>
      <c r="E6">
        <v>14</v>
      </c>
      <c r="G6" s="6">
        <v>3</v>
      </c>
      <c r="H6">
        <v>21</v>
      </c>
      <c r="K6" s="6" t="s">
        <v>30</v>
      </c>
      <c r="L6" s="8">
        <v>111880.81481481482</v>
      </c>
      <c r="M6">
        <v>32392</v>
      </c>
      <c r="N6">
        <v>179736</v>
      </c>
    </row>
    <row r="7" spans="1:14">
      <c r="A7" s="6" t="s">
        <v>31</v>
      </c>
      <c r="B7">
        <v>1722528</v>
      </c>
      <c r="D7" s="7">
        <v>1.122001</v>
      </c>
      <c r="E7">
        <v>8</v>
      </c>
      <c r="G7" s="6">
        <v>4</v>
      </c>
      <c r="H7">
        <v>32</v>
      </c>
      <c r="K7" s="6" t="s">
        <v>31</v>
      </c>
      <c r="L7" s="8">
        <v>114835.2</v>
      </c>
      <c r="M7">
        <v>28748</v>
      </c>
      <c r="N7">
        <v>177906</v>
      </c>
    </row>
    <row r="8" spans="1:14">
      <c r="A8" s="6" t="s">
        <v>32</v>
      </c>
      <c r="B8">
        <v>1721478</v>
      </c>
      <c r="D8" s="7">
        <v>1.1437690949999999</v>
      </c>
      <c r="E8">
        <v>24</v>
      </c>
      <c r="G8" s="6">
        <v>5</v>
      </c>
      <c r="H8">
        <v>50</v>
      </c>
      <c r="K8" s="6" t="s">
        <v>32</v>
      </c>
      <c r="L8" s="8">
        <v>101263.41176470589</v>
      </c>
      <c r="M8">
        <v>27693</v>
      </c>
      <c r="N8">
        <v>164182</v>
      </c>
    </row>
    <row r="9" spans="1:14">
      <c r="A9" s="6" t="s">
        <v>27</v>
      </c>
      <c r="B9">
        <v>10932151</v>
      </c>
      <c r="D9" s="7">
        <v>1.149392755</v>
      </c>
      <c r="E9">
        <v>36</v>
      </c>
      <c r="G9" s="6">
        <v>7</v>
      </c>
      <c r="H9">
        <v>35</v>
      </c>
      <c r="K9" s="6" t="s">
        <v>27</v>
      </c>
      <c r="L9" s="8">
        <v>109321.51</v>
      </c>
      <c r="M9">
        <v>27693</v>
      </c>
      <c r="N9">
        <v>179736</v>
      </c>
    </row>
    <row r="10" spans="1:14">
      <c r="D10" s="7">
        <v>1.2067268849999999</v>
      </c>
      <c r="E10">
        <v>29</v>
      </c>
      <c r="G10" s="6">
        <v>8</v>
      </c>
      <c r="H10">
        <v>16</v>
      </c>
    </row>
    <row r="11" spans="1:14">
      <c r="D11" s="7">
        <v>1.3138255249999999</v>
      </c>
      <c r="E11">
        <v>33</v>
      </c>
      <c r="G11" s="6">
        <v>9</v>
      </c>
      <c r="H11">
        <v>45</v>
      </c>
    </row>
    <row r="12" spans="1:14">
      <c r="D12" s="7">
        <v>1.34138986</v>
      </c>
      <c r="E12">
        <v>25</v>
      </c>
      <c r="G12" s="6">
        <v>10</v>
      </c>
      <c r="H12">
        <v>50</v>
      </c>
    </row>
    <row r="13" spans="1:14">
      <c r="D13" s="7">
        <v>1.3759277590000001</v>
      </c>
      <c r="E13">
        <v>3</v>
      </c>
      <c r="G13" s="6">
        <v>11</v>
      </c>
      <c r="H13">
        <v>33</v>
      </c>
      <c r="K13" s="3" t="s">
        <v>52</v>
      </c>
      <c r="L13" s="3"/>
      <c r="M13" s="3"/>
      <c r="N13" s="3"/>
    </row>
    <row r="14" spans="1:14">
      <c r="D14" s="7">
        <v>1.3887059749999999</v>
      </c>
      <c r="E14">
        <v>25</v>
      </c>
      <c r="G14" s="6">
        <v>12</v>
      </c>
      <c r="H14">
        <v>108</v>
      </c>
      <c r="K14" s="5" t="s">
        <v>53</v>
      </c>
      <c r="L14" t="s">
        <v>34</v>
      </c>
    </row>
    <row r="15" spans="1:14">
      <c r="D15" s="7">
        <v>1.5082420510000001</v>
      </c>
      <c r="E15">
        <v>20</v>
      </c>
      <c r="G15" s="6">
        <v>13</v>
      </c>
      <c r="H15">
        <v>65</v>
      </c>
      <c r="K15" s="6" t="s">
        <v>45</v>
      </c>
      <c r="L15">
        <v>385</v>
      </c>
    </row>
    <row r="16" spans="1:14">
      <c r="D16" s="7">
        <v>1.5603360610000001</v>
      </c>
      <c r="E16">
        <v>30</v>
      </c>
      <c r="G16" s="6">
        <v>14</v>
      </c>
      <c r="H16">
        <v>42</v>
      </c>
      <c r="K16" s="6" t="s">
        <v>46</v>
      </c>
      <c r="L16">
        <v>227</v>
      </c>
    </row>
    <row r="17" spans="4:12">
      <c r="D17" s="7">
        <v>1.6257481709999999</v>
      </c>
      <c r="E17">
        <v>3</v>
      </c>
      <c r="G17" s="6">
        <v>15</v>
      </c>
      <c r="H17">
        <v>15</v>
      </c>
      <c r="K17" s="6" t="s">
        <v>47</v>
      </c>
      <c r="L17">
        <v>460</v>
      </c>
    </row>
    <row r="18" spans="4:12">
      <c r="D18" s="7">
        <v>1.6779709869999999</v>
      </c>
      <c r="E18">
        <v>18</v>
      </c>
      <c r="G18" s="6">
        <v>16</v>
      </c>
      <c r="H18">
        <v>112</v>
      </c>
      <c r="K18" s="6" t="s">
        <v>48</v>
      </c>
      <c r="L18">
        <v>254</v>
      </c>
    </row>
    <row r="19" spans="4:12">
      <c r="D19" s="7">
        <v>1.69317728</v>
      </c>
      <c r="E19">
        <v>7</v>
      </c>
      <c r="G19" s="6">
        <v>17</v>
      </c>
      <c r="H19">
        <v>153</v>
      </c>
      <c r="K19" s="6" t="s">
        <v>49</v>
      </c>
      <c r="L19">
        <v>565</v>
      </c>
    </row>
    <row r="20" spans="4:12">
      <c r="D20" s="7">
        <v>1.7084427179999999</v>
      </c>
      <c r="E20">
        <v>29</v>
      </c>
      <c r="G20" s="6">
        <v>18</v>
      </c>
      <c r="H20">
        <v>72</v>
      </c>
      <c r="K20" s="6" t="s">
        <v>50</v>
      </c>
      <c r="L20">
        <v>430</v>
      </c>
    </row>
    <row r="21" spans="4:12">
      <c r="D21" s="7">
        <v>1.7809719509999999</v>
      </c>
      <c r="E21">
        <v>16</v>
      </c>
      <c r="G21" s="6">
        <v>19</v>
      </c>
      <c r="H21">
        <v>133</v>
      </c>
      <c r="K21" s="6" t="s">
        <v>51</v>
      </c>
      <c r="L21">
        <v>126</v>
      </c>
    </row>
    <row r="22" spans="4:12">
      <c r="D22" s="7">
        <v>1.8632841099999999</v>
      </c>
      <c r="E22">
        <v>25</v>
      </c>
      <c r="G22" s="6" t="s">
        <v>27</v>
      </c>
      <c r="H22">
        <v>996</v>
      </c>
      <c r="K22" s="6" t="s">
        <v>27</v>
      </c>
      <c r="L22">
        <v>2447</v>
      </c>
    </row>
    <row r="23" spans="4:12">
      <c r="D23" s="7">
        <v>1.9759585740000001</v>
      </c>
      <c r="E23">
        <v>17</v>
      </c>
    </row>
    <row r="24" spans="4:12">
      <c r="D24" s="7">
        <v>2.000971593</v>
      </c>
      <c r="E24">
        <v>17</v>
      </c>
    </row>
    <row r="25" spans="4:12">
      <c r="D25" s="7">
        <v>2.083329005</v>
      </c>
      <c r="E25">
        <v>33</v>
      </c>
    </row>
    <row r="26" spans="4:12">
      <c r="D26" s="7">
        <v>2.1197355880000002</v>
      </c>
      <c r="E26">
        <v>22</v>
      </c>
    </row>
    <row r="27" spans="4:12">
      <c r="D27" s="7">
        <v>2.1230894500000002</v>
      </c>
      <c r="E27">
        <v>9</v>
      </c>
    </row>
    <row r="28" spans="4:12">
      <c r="D28" s="7">
        <v>2.1461650090000002</v>
      </c>
      <c r="E28">
        <v>11</v>
      </c>
    </row>
    <row r="29" spans="4:12">
      <c r="D29" s="7">
        <v>2.1743673769999998</v>
      </c>
      <c r="E29">
        <v>49</v>
      </c>
    </row>
    <row r="30" spans="4:12">
      <c r="D30" s="7">
        <v>2.1777955680000001</v>
      </c>
      <c r="E30">
        <v>41</v>
      </c>
    </row>
    <row r="31" spans="4:12">
      <c r="D31" s="7">
        <v>2.2676880210000001</v>
      </c>
      <c r="E31">
        <v>39</v>
      </c>
    </row>
    <row r="32" spans="4:12">
      <c r="D32" s="7">
        <v>2.2918258919999999</v>
      </c>
      <c r="E32">
        <v>41</v>
      </c>
    </row>
    <row r="33" spans="4:5">
      <c r="D33" s="7">
        <v>2.3519806270000001</v>
      </c>
      <c r="E33">
        <v>48</v>
      </c>
    </row>
    <row r="34" spans="4:5">
      <c r="D34" s="7">
        <v>2.4379646049999999</v>
      </c>
      <c r="E34">
        <v>48</v>
      </c>
    </row>
    <row r="35" spans="4:5">
      <c r="D35" s="7">
        <v>2.4407625660000001</v>
      </c>
      <c r="E35">
        <v>40</v>
      </c>
    </row>
    <row r="36" spans="4:5">
      <c r="D36" s="7">
        <v>2.4806348009999999</v>
      </c>
      <c r="E36">
        <v>19</v>
      </c>
    </row>
    <row r="37" spans="4:5">
      <c r="D37" s="7">
        <v>2.5023318109999999</v>
      </c>
      <c r="E37">
        <v>16</v>
      </c>
    </row>
    <row r="38" spans="4:5">
      <c r="D38" s="7">
        <v>2.5403909140000001</v>
      </c>
      <c r="E38">
        <v>33</v>
      </c>
    </row>
    <row r="39" spans="4:5">
      <c r="D39" s="7">
        <v>2.5723908990000002</v>
      </c>
      <c r="E39">
        <v>24</v>
      </c>
    </row>
    <row r="40" spans="4:5">
      <c r="D40" s="7">
        <v>2.6358117779999999</v>
      </c>
      <c r="E40">
        <v>8</v>
      </c>
    </row>
    <row r="41" spans="4:5">
      <c r="D41" s="7">
        <v>2.7127365929999998</v>
      </c>
      <c r="E41">
        <v>19</v>
      </c>
    </row>
    <row r="42" spans="4:5">
      <c r="D42" s="7">
        <v>2.7558856829999998</v>
      </c>
      <c r="E42">
        <v>4</v>
      </c>
    </row>
    <row r="43" spans="4:5">
      <c r="D43" s="7">
        <v>2.8623920730000001</v>
      </c>
      <c r="E43">
        <v>33</v>
      </c>
    </row>
    <row r="44" spans="4:5">
      <c r="D44" s="7">
        <v>2.9700707749999999</v>
      </c>
      <c r="E44">
        <v>48</v>
      </c>
    </row>
    <row r="45" spans="4:5">
      <c r="D45" s="7">
        <v>3.0060651790000001</v>
      </c>
      <c r="E45">
        <v>37</v>
      </c>
    </row>
    <row r="46" spans="4:5">
      <c r="D46" s="7">
        <v>3.0105483720000001</v>
      </c>
      <c r="E46">
        <v>22</v>
      </c>
    </row>
    <row r="47" spans="4:5">
      <c r="D47" s="7">
        <v>3.0453695949999999</v>
      </c>
      <c r="E47">
        <v>5</v>
      </c>
    </row>
    <row r="48" spans="4:5">
      <c r="D48" s="7">
        <v>3.0652013930000002</v>
      </c>
      <c r="E48">
        <v>16</v>
      </c>
    </row>
    <row r="49" spans="4:5">
      <c r="D49" s="7">
        <v>3.0733186090000002</v>
      </c>
      <c r="E49">
        <v>42</v>
      </c>
    </row>
    <row r="50" spans="4:5">
      <c r="D50" s="7">
        <v>3.0889730399999999</v>
      </c>
      <c r="E50">
        <v>35</v>
      </c>
    </row>
    <row r="51" spans="4:5">
      <c r="D51" s="7">
        <v>3.1254185259999998</v>
      </c>
      <c r="E51">
        <v>18</v>
      </c>
    </row>
    <row r="52" spans="4:5">
      <c r="D52" s="7">
        <v>3.1625404860000002</v>
      </c>
      <c r="E52">
        <v>46</v>
      </c>
    </row>
    <row r="53" spans="4:5">
      <c r="D53" s="7">
        <v>3.1705785390000001</v>
      </c>
      <c r="E53">
        <v>24</v>
      </c>
    </row>
    <row r="54" spans="4:5">
      <c r="D54" s="7">
        <v>3.1969066590000002</v>
      </c>
      <c r="E54">
        <v>33</v>
      </c>
    </row>
    <row r="55" spans="4:5">
      <c r="D55" s="7">
        <v>3.2272050499999998</v>
      </c>
      <c r="E55">
        <v>40</v>
      </c>
    </row>
    <row r="56" spans="4:5">
      <c r="D56" s="7">
        <v>3.28024468</v>
      </c>
      <c r="E56">
        <v>28</v>
      </c>
    </row>
    <row r="57" spans="4:5">
      <c r="D57" s="7">
        <v>3.3076155389999999</v>
      </c>
      <c r="E57">
        <v>11</v>
      </c>
    </row>
    <row r="58" spans="4:5">
      <c r="D58" s="7">
        <v>3.3131205640000001</v>
      </c>
      <c r="E58">
        <v>20</v>
      </c>
    </row>
    <row r="59" spans="4:5">
      <c r="D59" s="7">
        <v>3.3633330419999998</v>
      </c>
      <c r="E59">
        <v>49</v>
      </c>
    </row>
    <row r="60" spans="4:5">
      <c r="D60" s="7">
        <v>3.4600289069999999</v>
      </c>
      <c r="E60">
        <v>23</v>
      </c>
    </row>
    <row r="61" spans="4:5">
      <c r="D61" s="7">
        <v>3.491561903</v>
      </c>
      <c r="E61">
        <v>35</v>
      </c>
    </row>
    <row r="62" spans="4:5">
      <c r="D62" s="7">
        <v>3.5245545040000001</v>
      </c>
      <c r="E62">
        <v>34</v>
      </c>
    </row>
    <row r="63" spans="4:5">
      <c r="D63" s="7">
        <v>3.549719606</v>
      </c>
      <c r="E63">
        <v>18</v>
      </c>
    </row>
    <row r="64" spans="4:5">
      <c r="D64" s="7">
        <v>3.581889184</v>
      </c>
      <c r="E64">
        <v>16</v>
      </c>
    </row>
    <row r="65" spans="4:5">
      <c r="D65" s="7">
        <v>3.5998557230000001</v>
      </c>
      <c r="E65">
        <v>9</v>
      </c>
    </row>
    <row r="66" spans="4:5">
      <c r="D66" s="7">
        <v>3.640789507</v>
      </c>
      <c r="E66">
        <v>12</v>
      </c>
    </row>
    <row r="67" spans="4:5">
      <c r="D67" s="7">
        <v>3.7838968240000002</v>
      </c>
      <c r="E67">
        <v>20</v>
      </c>
    </row>
    <row r="68" spans="4:5">
      <c r="D68" s="7">
        <v>3.7841191869999999</v>
      </c>
      <c r="E68">
        <v>11</v>
      </c>
    </row>
    <row r="69" spans="4:5">
      <c r="D69" s="7">
        <v>3.7880629639999999</v>
      </c>
      <c r="E69">
        <v>16</v>
      </c>
    </row>
    <row r="70" spans="4:5">
      <c r="D70" s="7">
        <v>3.8078675089999998</v>
      </c>
      <c r="E70">
        <v>41</v>
      </c>
    </row>
    <row r="71" spans="4:5">
      <c r="D71" s="7">
        <v>3.8099363359999998</v>
      </c>
      <c r="E71">
        <v>26</v>
      </c>
    </row>
    <row r="72" spans="4:5">
      <c r="D72" s="7">
        <v>3.8583836909999998</v>
      </c>
      <c r="E72">
        <v>48</v>
      </c>
    </row>
    <row r="73" spans="4:5">
      <c r="D73" s="7">
        <v>3.8898084609999999</v>
      </c>
      <c r="E73">
        <v>33</v>
      </c>
    </row>
    <row r="74" spans="4:5">
      <c r="D74" s="7">
        <v>3.904365335</v>
      </c>
      <c r="E74">
        <v>2</v>
      </c>
    </row>
    <row r="75" spans="4:5">
      <c r="D75" s="7">
        <v>3.9630744710000001</v>
      </c>
      <c r="E75">
        <v>7</v>
      </c>
    </row>
    <row r="76" spans="4:5">
      <c r="D76" s="7">
        <v>4.0799742119999998</v>
      </c>
      <c r="E76">
        <v>48</v>
      </c>
    </row>
    <row r="77" spans="4:5">
      <c r="D77" s="7">
        <v>4.1792452139999998</v>
      </c>
      <c r="E77">
        <v>6</v>
      </c>
    </row>
    <row r="78" spans="4:5">
      <c r="D78" s="7">
        <v>4.1807447790000003</v>
      </c>
      <c r="E78">
        <v>36</v>
      </c>
    </row>
    <row r="79" spans="4:5">
      <c r="D79" s="7">
        <v>4.1831706779999998</v>
      </c>
      <c r="E79">
        <v>35</v>
      </c>
    </row>
    <row r="80" spans="4:5">
      <c r="D80" s="7">
        <v>4.1931807159999996</v>
      </c>
      <c r="E80">
        <v>32</v>
      </c>
    </row>
    <row r="81" spans="4:5">
      <c r="D81" s="7">
        <v>4.2374446219999999</v>
      </c>
      <c r="E81">
        <v>2</v>
      </c>
    </row>
    <row r="82" spans="4:5">
      <c r="D82" s="7">
        <v>4.2404535790000004</v>
      </c>
      <c r="E82">
        <v>1</v>
      </c>
    </row>
    <row r="83" spans="4:5">
      <c r="D83" s="7">
        <v>4.2904022429999999</v>
      </c>
      <c r="E83">
        <v>38</v>
      </c>
    </row>
    <row r="84" spans="4:5">
      <c r="D84" s="7">
        <v>4.3439204819999997</v>
      </c>
      <c r="E84">
        <v>48</v>
      </c>
    </row>
    <row r="85" spans="4:5">
      <c r="D85" s="7">
        <v>4.4045466859999998</v>
      </c>
      <c r="E85">
        <v>40</v>
      </c>
    </row>
    <row r="86" spans="4:5">
      <c r="D86" s="7">
        <v>4.4120378220000003</v>
      </c>
      <c r="E86">
        <v>7</v>
      </c>
    </row>
    <row r="87" spans="4:5">
      <c r="D87" s="7">
        <v>4.468289274</v>
      </c>
      <c r="E87">
        <v>48</v>
      </c>
    </row>
    <row r="88" spans="4:5">
      <c r="D88" s="7">
        <v>4.5094922879999997</v>
      </c>
      <c r="E88">
        <v>35</v>
      </c>
    </row>
    <row r="89" spans="4:5">
      <c r="D89" s="7">
        <v>4.560021367</v>
      </c>
      <c r="E89">
        <v>19</v>
      </c>
    </row>
    <row r="90" spans="4:5">
      <c r="D90" s="7">
        <v>4.5681862210000004</v>
      </c>
      <c r="E90">
        <v>5</v>
      </c>
    </row>
    <row r="91" spans="4:5">
      <c r="D91" s="7">
        <v>4.6529622100000001</v>
      </c>
      <c r="E91">
        <v>12</v>
      </c>
    </row>
    <row r="92" spans="4:5">
      <c r="D92" s="7">
        <v>4.659457561</v>
      </c>
      <c r="E92">
        <v>36</v>
      </c>
    </row>
    <row r="93" spans="4:5">
      <c r="D93" s="7">
        <v>4.7132742500000004</v>
      </c>
      <c r="E93">
        <v>3</v>
      </c>
    </row>
    <row r="94" spans="4:5">
      <c r="D94" s="7">
        <v>4.7446190970000002</v>
      </c>
      <c r="E94">
        <v>1</v>
      </c>
    </row>
    <row r="95" spans="4:5">
      <c r="D95" s="7">
        <v>4.7618343369999998</v>
      </c>
      <c r="E95">
        <v>3</v>
      </c>
    </row>
    <row r="96" spans="4:5">
      <c r="D96" s="7">
        <v>4.8157143080000004</v>
      </c>
      <c r="E96">
        <v>20</v>
      </c>
    </row>
    <row r="97" spans="4:5">
      <c r="D97" s="7">
        <v>4.819461123</v>
      </c>
      <c r="E97">
        <v>22</v>
      </c>
    </row>
    <row r="98" spans="4:5">
      <c r="D98" s="7">
        <v>4.8505936590000003</v>
      </c>
      <c r="E98">
        <v>21</v>
      </c>
    </row>
    <row r="99" spans="4:5">
      <c r="D99" s="7">
        <v>4.8544799080000001</v>
      </c>
      <c r="E99">
        <v>32</v>
      </c>
    </row>
    <row r="100" spans="4:5">
      <c r="D100" s="7">
        <v>4.8666192759999998</v>
      </c>
      <c r="E100">
        <v>20</v>
      </c>
    </row>
    <row r="101" spans="4:5">
      <c r="D101" s="7">
        <v>4.8920422190000004</v>
      </c>
      <c r="E101">
        <v>38</v>
      </c>
    </row>
    <row r="102" spans="4:5">
      <c r="D102" s="7">
        <v>4.9034083180000003</v>
      </c>
      <c r="E102">
        <v>35</v>
      </c>
    </row>
    <row r="103" spans="4:5">
      <c r="D103" s="7">
        <v>4.9602154000000001</v>
      </c>
      <c r="E103">
        <v>31</v>
      </c>
    </row>
    <row r="104" spans="4:5">
      <c r="D104" s="7" t="s">
        <v>27</v>
      </c>
      <c r="E104">
        <v>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statistical-analysis</vt:lpstr>
      <vt:lpstr>correlation matrix </vt:lpstr>
      <vt:lpstr> summary statistics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</dc:creator>
  <cp:lastModifiedBy>Ekta Joshi</cp:lastModifiedBy>
  <dcterms:created xsi:type="dcterms:W3CDTF">2025-08-24T15:48:12Z</dcterms:created>
  <dcterms:modified xsi:type="dcterms:W3CDTF">2026-01-14T00:46:15Z</dcterms:modified>
</cp:coreProperties>
</file>